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Dados_Brutos" sheetId="1" state="visible" r:id="rId3"/>
    <sheet name="Dados_Tratados" sheetId="2" state="visible" r:id="rId4"/>
    <sheet name="Qualidade_Dados" sheetId="3" state="visible" r:id="rId5"/>
    <sheet name="Resumo" sheetId="4" state="visible" r:id="rId6"/>
    <sheet name="Dashboar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<sst xmlns="http://schemas.openxmlformats.org/spreadsheetml/2006/main" count="2360" uniqueCount="1075">
  <si>
    <t xml:space="preserve">🚗  Dados Brutos — Base Porsche (como recebida)</t>
  </si>
  <si>
    <t xml:space="preserve">&lt;&lt;  Voltar ao Dashboard</t>
  </si>
  <si>
    <t xml:space="preserve">ID Venda</t>
  </si>
  <si>
    <t xml:space="preserve">Data (bruta)</t>
  </si>
  <si>
    <t xml:space="preserve">Cliente (bruto)</t>
  </si>
  <si>
    <t xml:space="preserve">Modelo</t>
  </si>
  <si>
    <t xml:space="preserve">Ano (bruto)</t>
  </si>
  <si>
    <t xml:space="preserve">Preço (bruto)</t>
  </si>
  <si>
    <t xml:space="preserve">Quilometragem (bruta)</t>
  </si>
  <si>
    <t xml:space="preserve">Pagamento (bruto)</t>
  </si>
  <si>
    <t xml:space="preserve">Cidade (bruta)</t>
  </si>
  <si>
    <t xml:space="preserve">Estado (bruto)</t>
  </si>
  <si>
    <t xml:space="preserve">Vendedor (bruto)</t>
  </si>
  <si>
    <t xml:space="preserve">Status (bruto)</t>
  </si>
  <si>
    <t xml:space="preserve">6</t>
  </si>
  <si>
    <t xml:space="preserve">2024-02-30</t>
  </si>
  <si>
    <t xml:space="preserve">Michael Adams</t>
  </si>
  <si>
    <t xml:space="preserve">718 Cayman</t>
  </si>
  <si>
    <t xml:space="preserve">2022</t>
  </si>
  <si>
    <t xml:space="preserve">$79,500.00</t>
  </si>
  <si>
    <t xml:space="preserve">9,800 miles</t>
  </si>
  <si>
    <t xml:space="preserve">Credit card</t>
  </si>
  <si>
    <t xml:space="preserve">boston</t>
  </si>
  <si>
    <t xml:space="preserve">ma</t>
  </si>
  <si>
    <t xml:space="preserve">kevin</t>
  </si>
  <si>
    <t xml:space="preserve">delivered</t>
  </si>
  <si>
    <t xml:space="preserve">7</t>
  </si>
  <si>
    <t xml:space="preserve">03/14/2024</t>
  </si>
  <si>
    <t xml:space="preserve">SOPHIA Miller</t>
  </si>
  <si>
    <t xml:space="preserve">911 Turbo S</t>
  </si>
  <si>
    <t xml:space="preserve">twenty twenty four</t>
  </si>
  <si>
    <t xml:space="preserve">235000 USD</t>
  </si>
  <si>
    <t xml:space="preserve">1.200 mi</t>
  </si>
  <si>
    <t xml:space="preserve">wire transfer</t>
  </si>
  <si>
    <t xml:space="preserve">Seattle</t>
  </si>
  <si>
    <t xml:space="preserve">Washington</t>
  </si>
  <si>
    <t xml:space="preserve">AMANDA scott</t>
  </si>
  <si>
    <t xml:space="preserve">DELIVERED</t>
  </si>
  <si>
    <t xml:space="preserve">8</t>
  </si>
  <si>
    <t xml:space="preserve">2024-04-18 00:00:00</t>
  </si>
  <si>
    <t xml:space="preserve">Daniel-Jones</t>
  </si>
  <si>
    <t xml:space="preserve">Cayenne Coupe</t>
  </si>
  <si>
    <t xml:space="preserve">2023</t>
  </si>
  <si>
    <t xml:space="preserve">USD 112.750</t>
  </si>
  <si>
    <t xml:space="preserve">Miles: 6,400</t>
  </si>
  <si>
    <t xml:space="preserve">Financing plan</t>
  </si>
  <si>
    <t xml:space="preserve">austin</t>
  </si>
  <si>
    <t xml:space="preserve">tx</t>
  </si>
  <si>
    <t xml:space="preserve">Brian Hall</t>
  </si>
  <si>
    <t xml:space="preserve">in Transit</t>
  </si>
  <si>
    <t xml:space="preserve">9</t>
  </si>
  <si>
    <t xml:space="preserve">April 31st, 2024</t>
  </si>
  <si>
    <t xml:space="preserve">Olivia Brown</t>
  </si>
  <si>
    <t xml:space="preserve">Macan S</t>
  </si>
  <si>
    <t xml:space="preserve">2021</t>
  </si>
  <si>
    <t xml:space="preserve">68.900 dollars</t>
  </si>
  <si>
    <t xml:space="preserve">28</t>
  </si>
  <si>
    <t xml:space="preserve">CASH</t>
  </si>
  <si>
    <t xml:space="preserve">Denver</t>
  </si>
  <si>
    <t xml:space="preserve">colorado</t>
  </si>
  <si>
    <t xml:space="preserve">jessica</t>
  </si>
  <si>
    <t xml:space="preserve">Pending</t>
  </si>
  <si>
    <t xml:space="preserve">10</t>
  </si>
  <si>
    <t xml:space="preserve">2024-05-22 00:00:00</t>
  </si>
  <si>
    <t xml:space="preserve">Ethan Wilson</t>
  </si>
  <si>
    <t xml:space="preserve">Taycan 4S</t>
  </si>
  <si>
    <t xml:space="preserve">2024</t>
  </si>
  <si>
    <t xml:space="preserve">$121k</t>
  </si>
  <si>
    <t xml:space="preserve">zero miles</t>
  </si>
  <si>
    <t xml:space="preserve">bank-transfer</t>
  </si>
  <si>
    <t xml:space="preserve">los angeles</t>
  </si>
  <si>
    <t xml:space="preserve">ca</t>
  </si>
  <si>
    <t xml:space="preserve">Thomas King</t>
  </si>
  <si>
    <t xml:space="preserve">delivered!!!</t>
  </si>
  <si>
    <t xml:space="preserve">11</t>
  </si>
  <si>
    <t xml:space="preserve">2024-08-06 00:00:00</t>
  </si>
  <si>
    <t xml:space="preserve">Ava Martinez</t>
  </si>
  <si>
    <t xml:space="preserve">Panamera 4</t>
  </si>
  <si>
    <t xml:space="preserve">20-23</t>
  </si>
  <si>
    <t xml:space="preserve">104,500 USD</t>
  </si>
  <si>
    <t xml:space="preserve">14.500 miles</t>
  </si>
  <si>
    <t xml:space="preserve">Credit Card</t>
  </si>
  <si>
    <t xml:space="preserve">Miami</t>
  </si>
  <si>
    <t xml:space="preserve">FL</t>
  </si>
  <si>
    <t xml:space="preserve">LISA ray</t>
  </si>
  <si>
    <t xml:space="preserve">cancelled</t>
  </si>
  <si>
    <t xml:space="preserve">12</t>
  </si>
  <si>
    <t xml:space="preserve">2024.07.11</t>
  </si>
  <si>
    <t xml:space="preserve">Noah Davis</t>
  </si>
  <si>
    <t xml:space="preserve">911 Carrera S</t>
  </si>
  <si>
    <t xml:space="preserve">2020</t>
  </si>
  <si>
    <t xml:space="preserve">USD $96,300</t>
  </si>
  <si>
    <t xml:space="preserve">41,000mi</t>
  </si>
  <si>
    <t xml:space="preserve">lease</t>
  </si>
  <si>
    <t xml:space="preserve">new york</t>
  </si>
  <si>
    <t xml:space="preserve">New York</t>
  </si>
  <si>
    <t xml:space="preserve">Mark Evans</t>
  </si>
  <si>
    <t xml:space="preserve">DELIVERD</t>
  </si>
  <si>
    <t xml:space="preserve">13</t>
  </si>
  <si>
    <t xml:space="preserve">2024/15/07</t>
  </si>
  <si>
    <t xml:space="preserve">Isabella Garcia</t>
  </si>
  <si>
    <t xml:space="preserve">Cayenne E-Hybrid</t>
  </si>
  <si>
    <t xml:space="preserve">$89.750,00</t>
  </si>
  <si>
    <t xml:space="preserve">KM 18,900</t>
  </si>
  <si>
    <t xml:space="preserve">bank wire</t>
  </si>
  <si>
    <t xml:space="preserve">San Diego</t>
  </si>
  <si>
    <t xml:space="preserve">CA</t>
  </si>
  <si>
    <t xml:space="preserve">nancy reed</t>
  </si>
  <si>
    <t xml:space="preserve">pending approval</t>
  </si>
  <si>
    <t xml:space="preserve">14</t>
  </si>
  <si>
    <t xml:space="preserve">08/19/24</t>
  </si>
  <si>
    <t xml:space="preserve">Liam Rodriguez</t>
  </si>
  <si>
    <t xml:space="preserve">718 Boxster</t>
  </si>
  <si>
    <t xml:space="preserve">two thousand twenty one</t>
  </si>
  <si>
    <t xml:space="preserve">73500</t>
  </si>
  <si>
    <t xml:space="preserve">22,300 miles</t>
  </si>
  <si>
    <t xml:space="preserve">debit card</t>
  </si>
  <si>
    <t xml:space="preserve">chicago</t>
  </si>
  <si>
    <t xml:space="preserve">IL</t>
  </si>
  <si>
    <t xml:space="preserve">George Bell</t>
  </si>
  <si>
    <t xml:space="preserve">shipped</t>
  </si>
  <si>
    <t xml:space="preserve">15</t>
  </si>
  <si>
    <t xml:space="preserve">2024-09-02 00:00:00</t>
  </si>
  <si>
    <t xml:space="preserve">Mia Hernandez</t>
  </si>
  <si>
    <t xml:space="preserve">Macan GTS</t>
  </si>
  <si>
    <t xml:space="preserve">95,000 dollars</t>
  </si>
  <si>
    <t xml:space="preserve">3.500 mi</t>
  </si>
  <si>
    <t xml:space="preserve">Financing</t>
  </si>
  <si>
    <t xml:space="preserve">phoenix</t>
  </si>
  <si>
    <t xml:space="preserve">arizona</t>
  </si>
  <si>
    <t xml:space="preserve">Helen Brooks</t>
  </si>
  <si>
    <t xml:space="preserve">IN TRANSIT</t>
  </si>
  <si>
    <t xml:space="preserve">16</t>
  </si>
  <si>
    <t xml:space="preserve">September 17, 2024</t>
  </si>
  <si>
    <t xml:space="preserve">James Lopez</t>
  </si>
  <si>
    <t xml:space="preserve">Taycan Turbo</t>
  </si>
  <si>
    <t xml:space="preserve">$153,200.50</t>
  </si>
  <si>
    <t xml:space="preserve">ACH payment</t>
  </si>
  <si>
    <t xml:space="preserve">dallas</t>
  </si>
  <si>
    <t xml:space="preserve">samuel price</t>
  </si>
  <si>
    <t xml:space="preserve">17</t>
  </si>
  <si>
    <t xml:space="preserve">2024-10-40</t>
  </si>
  <si>
    <t xml:space="preserve">Charlotte Young</t>
  </si>
  <si>
    <t xml:space="preserve">911 GT3</t>
  </si>
  <si>
    <t xml:space="preserve">USD 241.000</t>
  </si>
  <si>
    <t xml:space="preserve">750 miles</t>
  </si>
  <si>
    <t xml:space="preserve">WireTransfer</t>
  </si>
  <si>
    <t xml:space="preserve">Las Vegas</t>
  </si>
  <si>
    <t xml:space="preserve">NV</t>
  </si>
  <si>
    <t xml:space="preserve">PETER Ford</t>
  </si>
  <si>
    <t xml:space="preserve">pending</t>
  </si>
  <si>
    <t xml:space="preserve">18</t>
  </si>
  <si>
    <t xml:space="preserve">2024-05-11 00:00:00</t>
  </si>
  <si>
    <t xml:space="preserve">Benjamin Allen</t>
  </si>
  <si>
    <t xml:space="preserve">Panamera Turbo S</t>
  </si>
  <si>
    <t xml:space="preserve">$132000</t>
  </si>
  <si>
    <t xml:space="preserve">19,250 mi.</t>
  </si>
  <si>
    <t xml:space="preserve">cash</t>
  </si>
  <si>
    <t xml:space="preserve">san jose</t>
  </si>
  <si>
    <t xml:space="preserve">california</t>
  </si>
  <si>
    <t xml:space="preserve">Angela Green</t>
  </si>
  <si>
    <t xml:space="preserve">delivered.</t>
  </si>
  <si>
    <t xml:space="preserve">19</t>
  </si>
  <si>
    <t xml:space="preserve">2024-12-12 00:00:00</t>
  </si>
  <si>
    <t xml:space="preserve">Amelia King</t>
  </si>
  <si>
    <t xml:space="preserve">Cayenne Turbo GT</t>
  </si>
  <si>
    <t xml:space="preserve">188k USD</t>
  </si>
  <si>
    <t xml:space="preserve">2,100 miles</t>
  </si>
  <si>
    <t xml:space="preserve">crypto payment</t>
  </si>
  <si>
    <t xml:space="preserve">Houston</t>
  </si>
  <si>
    <t xml:space="preserve">Texas</t>
  </si>
  <si>
    <t xml:space="preserve">Victor Stone</t>
  </si>
  <si>
    <t xml:space="preserve">awaiting delivery</t>
  </si>
  <si>
    <t xml:space="preserve">20</t>
  </si>
  <si>
    <t xml:space="preserve">Dec 25th 2024</t>
  </si>
  <si>
    <t xml:space="preserve">Lucas Wright</t>
  </si>
  <si>
    <t xml:space="preserve">911 Carrera Cabriolet</t>
  </si>
  <si>
    <t xml:space="preserve">$127,800</t>
  </si>
  <si>
    <t xml:space="preserve">twelve thousand miles</t>
  </si>
  <si>
    <t xml:space="preserve">CreditCard</t>
  </si>
  <si>
    <t xml:space="preserve">atlanta</t>
  </si>
  <si>
    <t xml:space="preserve">ga</t>
  </si>
  <si>
    <t xml:space="preserve">rachel turner</t>
  </si>
  <si>
    <t xml:space="preserve">21</t>
  </si>
  <si>
    <t xml:space="preserve">2025-01-06 00:00:00</t>
  </si>
  <si>
    <t xml:space="preserve">Harper Scott</t>
  </si>
  <si>
    <t xml:space="preserve">Macan</t>
  </si>
  <si>
    <t xml:space="preserve">USD 58,900.00</t>
  </si>
  <si>
    <t xml:space="preserve">33.700 miles</t>
  </si>
  <si>
    <t xml:space="preserve">Bank Transfer</t>
  </si>
  <si>
    <t xml:space="preserve">Orlando</t>
  </si>
  <si>
    <t xml:space="preserve">Florida</t>
  </si>
  <si>
    <t xml:space="preserve">Chris Moore</t>
  </si>
  <si>
    <t xml:space="preserve">22</t>
  </si>
  <si>
    <t xml:space="preserve">01/32/2025</t>
  </si>
  <si>
    <t xml:space="preserve">Henry Torres</t>
  </si>
  <si>
    <t xml:space="preserve">718 Spyder RS</t>
  </si>
  <si>
    <t xml:space="preserve">$164,000</t>
  </si>
  <si>
    <t xml:space="preserve">900 mi</t>
  </si>
  <si>
    <t xml:space="preserve">finance</t>
  </si>
  <si>
    <t xml:space="preserve">portland</t>
  </si>
  <si>
    <t xml:space="preserve">OR</t>
  </si>
  <si>
    <t xml:space="preserve">LAURA Hill</t>
  </si>
  <si>
    <t xml:space="preserve">in-transit</t>
  </si>
  <si>
    <t xml:space="preserve">23</t>
  </si>
  <si>
    <t xml:space="preserve">2025-02-14 00:00:00</t>
  </si>
  <si>
    <t xml:space="preserve">Evelyn Nguyen</t>
  </si>
  <si>
    <t xml:space="preserve">Taycan Cross Turismo</t>
  </si>
  <si>
    <t xml:space="preserve">twenty twenty three</t>
  </si>
  <si>
    <t xml:space="preserve">118500 USD</t>
  </si>
  <si>
    <t xml:space="preserve">7,800mi</t>
  </si>
  <si>
    <t xml:space="preserve">wire</t>
  </si>
  <si>
    <t xml:space="preserve">Charlotte</t>
  </si>
  <si>
    <t xml:space="preserve">nc</t>
  </si>
  <si>
    <t xml:space="preserve">Martin Young</t>
  </si>
  <si>
    <t xml:space="preserve">24</t>
  </si>
  <si>
    <t xml:space="preserve">February 29th, 2025</t>
  </si>
  <si>
    <t xml:space="preserve">Alexander Flores</t>
  </si>
  <si>
    <t xml:space="preserve">Cayenne S</t>
  </si>
  <si>
    <t xml:space="preserve">91.300 dollars</t>
  </si>
  <si>
    <t xml:space="preserve">16,000 miles</t>
  </si>
  <si>
    <t xml:space="preserve">credit card payment</t>
  </si>
  <si>
    <t xml:space="preserve">nashville</t>
  </si>
  <si>
    <t xml:space="preserve">TN</t>
  </si>
  <si>
    <t xml:space="preserve">Diana Cooper</t>
  </si>
  <si>
    <t xml:space="preserve">pending!!</t>
  </si>
  <si>
    <t xml:space="preserve">25</t>
  </si>
  <si>
    <t xml:space="preserve">2025-03-21 00:00:00</t>
  </si>
  <si>
    <t xml:space="preserve">Abigail Carter</t>
  </si>
  <si>
    <t xml:space="preserve">911 Targa 4S</t>
  </si>
  <si>
    <t xml:space="preserve">20 24</t>
  </si>
  <si>
    <t xml:space="preserve">$158.750</t>
  </si>
  <si>
    <t xml:space="preserve">2.500 mi</t>
  </si>
  <si>
    <t xml:space="preserve">Leasing</t>
  </si>
  <si>
    <t xml:space="preserve">minneapolis</t>
  </si>
  <si>
    <t xml:space="preserve">minnesota</t>
  </si>
  <si>
    <t xml:space="preserve">Steve Gray</t>
  </si>
  <si>
    <t xml:space="preserve">Delivered</t>
  </si>
  <si>
    <t xml:space="preserve">26</t>
  </si>
  <si>
    <t xml:space="preserve">03/28/25</t>
  </si>
  <si>
    <t xml:space="preserve">Jack Mitchell</t>
  </si>
  <si>
    <t xml:space="preserve">Panamera</t>
  </si>
  <si>
    <t xml:space="preserve">USD 72,000</t>
  </si>
  <si>
    <t xml:space="preserve">49,000 miles</t>
  </si>
  <si>
    <t xml:space="preserve">bank_transfer</t>
  </si>
  <si>
    <t xml:space="preserve">Philadelphia</t>
  </si>
  <si>
    <t xml:space="preserve">pa</t>
  </si>
  <si>
    <t xml:space="preserve">Olivia Ross</t>
  </si>
  <si>
    <t xml:space="preserve">CANCELLED</t>
  </si>
  <si>
    <t xml:space="preserve">27</t>
  </si>
  <si>
    <t xml:space="preserve">2025-04-09 00:00:00</t>
  </si>
  <si>
    <t xml:space="preserve">Emily Perez</t>
  </si>
  <si>
    <t xml:space="preserve">Macan Electric</t>
  </si>
  <si>
    <t xml:space="preserve">2025</t>
  </si>
  <si>
    <t xml:space="preserve">$86,500.00</t>
  </si>
  <si>
    <t xml:space="preserve">new</t>
  </si>
  <si>
    <t xml:space="preserve">san antonio</t>
  </si>
  <si>
    <t xml:space="preserve">TX</t>
  </si>
  <si>
    <t xml:space="preserve">Patrick Wood</t>
  </si>
  <si>
    <t xml:space="preserve">2025/04/31</t>
  </si>
  <si>
    <t xml:space="preserve">William Roberts</t>
  </si>
  <si>
    <t xml:space="preserve">911 Dakar</t>
  </si>
  <si>
    <t xml:space="preserve">270000 usd</t>
  </si>
  <si>
    <t xml:space="preserve">1,050 miles</t>
  </si>
  <si>
    <t xml:space="preserve">cash payment</t>
  </si>
  <si>
    <t xml:space="preserve">Salt Lake City</t>
  </si>
  <si>
    <t xml:space="preserve">utah</t>
  </si>
  <si>
    <t xml:space="preserve">Karen Diaz</t>
  </si>
  <si>
    <t xml:space="preserve">awaiting pickup</t>
  </si>
  <si>
    <t xml:space="preserve">29</t>
  </si>
  <si>
    <t xml:space="preserve">May 12, 2025</t>
  </si>
  <si>
    <t xml:space="preserve">Sofia Turner</t>
  </si>
  <si>
    <t xml:space="preserve">Taycan GTS</t>
  </si>
  <si>
    <t xml:space="preserve">$139k</t>
  </si>
  <si>
    <t xml:space="preserve">6.250 miles</t>
  </si>
  <si>
    <t xml:space="preserve">Financing Plan</t>
  </si>
  <si>
    <t xml:space="preserve">Raleigh</t>
  </si>
  <si>
    <t xml:space="preserve">NC</t>
  </si>
  <si>
    <t xml:space="preserve">Justin Cox</t>
  </si>
  <si>
    <t xml:space="preserve">in transit</t>
  </si>
  <si>
    <t xml:space="preserve">30</t>
  </si>
  <si>
    <t xml:space="preserve">2025-06-18 00:00:00</t>
  </si>
  <si>
    <t xml:space="preserve">Mason Phillips</t>
  </si>
  <si>
    <t xml:space="preserve">Cayenne</t>
  </si>
  <si>
    <t xml:space="preserve">76,800 USD</t>
  </si>
  <si>
    <t xml:space="preserve">38,400mi</t>
  </si>
  <si>
    <t xml:space="preserve">credit</t>
  </si>
  <si>
    <t xml:space="preserve">Detroit</t>
  </si>
  <si>
    <t xml:space="preserve">Michigan</t>
  </si>
  <si>
    <t xml:space="preserve">Betty Ward</t>
  </si>
  <si>
    <t xml:space="preserve">31</t>
  </si>
  <si>
    <t xml:space="preserve">06/31/2025</t>
  </si>
  <si>
    <t xml:space="preserve">Ella Campbell</t>
  </si>
  <si>
    <t xml:space="preserve">718 Cayman GT4 RS</t>
  </si>
  <si>
    <t xml:space="preserve">USD $173,600</t>
  </si>
  <si>
    <t xml:space="preserve">400 miles</t>
  </si>
  <si>
    <t xml:space="preserve">wire-transfer</t>
  </si>
  <si>
    <t xml:space="preserve">Columbus</t>
  </si>
  <si>
    <t xml:space="preserve">oh</t>
  </si>
  <si>
    <t xml:space="preserve">Gary Reed</t>
  </si>
  <si>
    <t xml:space="preserve">32</t>
  </si>
  <si>
    <t xml:space="preserve">2025.07.07</t>
  </si>
  <si>
    <t xml:space="preserve">Logan Parker</t>
  </si>
  <si>
    <t xml:space="preserve">911 Carrera GTS</t>
  </si>
  <si>
    <t xml:space="preserve">twenty twenty two</t>
  </si>
  <si>
    <t xml:space="preserve">119.900 USD</t>
  </si>
  <si>
    <t xml:space="preserve">13,600 miles</t>
  </si>
  <si>
    <t xml:space="preserve">CASH payment</t>
  </si>
  <si>
    <t xml:space="preserve">indianapolis</t>
  </si>
  <si>
    <t xml:space="preserve">Indiana</t>
  </si>
  <si>
    <t xml:space="preserve">maria foster</t>
  </si>
  <si>
    <t xml:space="preserve">33</t>
  </si>
  <si>
    <t xml:space="preserve">July 22nd, 2025</t>
  </si>
  <si>
    <t xml:space="preserve">Grace Evans</t>
  </si>
  <si>
    <t xml:space="preserve">Panamera 4 E-Hybrid</t>
  </si>
  <si>
    <t xml:space="preserve">$109,250.00</t>
  </si>
  <si>
    <t xml:space="preserve">Miles 8.900</t>
  </si>
  <si>
    <t xml:space="preserve">lease plan</t>
  </si>
  <si>
    <t xml:space="preserve">Fort Worth</t>
  </si>
  <si>
    <t xml:space="preserve">Harold Bennett</t>
  </si>
  <si>
    <t xml:space="preserve">In Transit</t>
  </si>
  <si>
    <t xml:space="preserve">34</t>
  </si>
  <si>
    <t xml:space="preserve">2025-08-14 00:00:00</t>
  </si>
  <si>
    <t xml:space="preserve">Jacob Edwards</t>
  </si>
  <si>
    <t xml:space="preserve">Macan T</t>
  </si>
  <si>
    <t xml:space="preserve">eighty two thousand USD</t>
  </si>
  <si>
    <t xml:space="preserve">21,750 mi</t>
  </si>
  <si>
    <t xml:space="preserve">Bank wire</t>
  </si>
  <si>
    <t xml:space="preserve">Jacksonville</t>
  </si>
  <si>
    <t xml:space="preserve">fl</t>
  </si>
  <si>
    <t xml:space="preserve">Teresa Cook</t>
  </si>
  <si>
    <t xml:space="preserve">35</t>
  </si>
  <si>
    <t xml:space="preserve">2025-09-01 00:00:00</t>
  </si>
  <si>
    <t xml:space="preserve">Victoria Collins</t>
  </si>
  <si>
    <t xml:space="preserve">Taycan Turbo S</t>
  </si>
  <si>
    <t xml:space="preserve">$214,000</t>
  </si>
  <si>
    <t xml:space="preserve">0 miles</t>
  </si>
  <si>
    <t xml:space="preserve">Crypto</t>
  </si>
  <si>
    <t xml:space="preserve">san diego</t>
  </si>
  <si>
    <t xml:space="preserve">California</t>
  </si>
  <si>
    <t xml:space="preserve">Frank Morgan</t>
  </si>
  <si>
    <t xml:space="preserve">pending review</t>
  </si>
  <si>
    <t xml:space="preserve">36</t>
  </si>
  <si>
    <t xml:space="preserve">2025-09-31</t>
  </si>
  <si>
    <t xml:space="preserve">Andrew Simmons</t>
  </si>
  <si>
    <t xml:space="preserve">911 Carrera</t>
  </si>
  <si>
    <t xml:space="preserve">$124,500.00</t>
  </si>
  <si>
    <t xml:space="preserve">4,800 miles</t>
  </si>
  <si>
    <t xml:space="preserve">tampa</t>
  </si>
  <si>
    <t xml:space="preserve">natalie</t>
  </si>
  <si>
    <t xml:space="preserve">37</t>
  </si>
  <si>
    <t xml:space="preserve">09/18/25</t>
  </si>
  <si>
    <t xml:space="preserve">Chloe Bennett</t>
  </si>
  <si>
    <t xml:space="preserve">98,200 USD</t>
  </si>
  <si>
    <t xml:space="preserve">12.200 mi</t>
  </si>
  <si>
    <t xml:space="preserve">bank transfer</t>
  </si>
  <si>
    <t xml:space="preserve">Sacramento</t>
  </si>
  <si>
    <t xml:space="preserve">ERIC woods</t>
  </si>
  <si>
    <t xml:space="preserve">38</t>
  </si>
  <si>
    <t xml:space="preserve">2025-10-04 00:00:00</t>
  </si>
  <si>
    <t xml:space="preserve">Ryan-Cooper</t>
  </si>
  <si>
    <t xml:space="preserve">USD 67.500</t>
  </si>
  <si>
    <t xml:space="preserve">Miles: 24,100</t>
  </si>
  <si>
    <t xml:space="preserve">cleveland</t>
  </si>
  <si>
    <t xml:space="preserve">Patricia Fox</t>
  </si>
  <si>
    <t xml:space="preserve">39</t>
  </si>
  <si>
    <t xml:space="preserve">October 12th, 2025</t>
  </si>
  <si>
    <t xml:space="preserve">Hannah Reed</t>
  </si>
  <si>
    <t xml:space="preserve">Taycan</t>
  </si>
  <si>
    <t xml:space="preserve">116.900 dollars</t>
  </si>
  <si>
    <t xml:space="preserve">Wire Transfer</t>
  </si>
  <si>
    <t xml:space="preserve">Milwaukee</t>
  </si>
  <si>
    <t xml:space="preserve">Wisconsin</t>
  </si>
  <si>
    <t xml:space="preserve">alan price</t>
  </si>
  <si>
    <t xml:space="preserve">40</t>
  </si>
  <si>
    <t xml:space="preserve">2025-10-29 00:00:00</t>
  </si>
  <si>
    <t xml:space="preserve">Dylan Parker</t>
  </si>
  <si>
    <t xml:space="preserve">Panamera 4S</t>
  </si>
  <si>
    <t xml:space="preserve">20-24</t>
  </si>
  <si>
    <t xml:space="preserve">$112k</t>
  </si>
  <si>
    <t xml:space="preserve">9.5</t>
  </si>
  <si>
    <t xml:space="preserve">Kansas City</t>
  </si>
  <si>
    <t xml:space="preserve">MO</t>
  </si>
  <si>
    <t xml:space="preserve">Sandra Hill</t>
  </si>
  <si>
    <t xml:space="preserve">41</t>
  </si>
  <si>
    <t xml:space="preserve">2025-02-11 00:00:00</t>
  </si>
  <si>
    <t xml:space="preserve">Lily Coleman</t>
  </si>
  <si>
    <t xml:space="preserve">74,000 USD</t>
  </si>
  <si>
    <t xml:space="preserve">31.000 miles</t>
  </si>
  <si>
    <t xml:space="preserve">omaha</t>
  </si>
  <si>
    <t xml:space="preserve">ne</t>
  </si>
  <si>
    <t xml:space="preserve">Victor Lee</t>
  </si>
  <si>
    <t xml:space="preserve">42</t>
  </si>
  <si>
    <t xml:space="preserve">2025.11.16</t>
  </si>
  <si>
    <t xml:space="preserve">Nathan Hughes</t>
  </si>
  <si>
    <t xml:space="preserve">911 Turbo</t>
  </si>
  <si>
    <t xml:space="preserve">USD $198,300</t>
  </si>
  <si>
    <t xml:space="preserve">2,400mi</t>
  </si>
  <si>
    <t xml:space="preserve">Albuquerque</t>
  </si>
  <si>
    <t xml:space="preserve">New Mexico</t>
  </si>
  <si>
    <t xml:space="preserve">monica</t>
  </si>
  <si>
    <t xml:space="preserve">43</t>
  </si>
  <si>
    <t xml:space="preserve">2025/18/11</t>
  </si>
  <si>
    <t xml:space="preserve">Zoe Foster</t>
  </si>
  <si>
    <t xml:space="preserve">$103.750,00</t>
  </si>
  <si>
    <t xml:space="preserve">KM 10,900</t>
  </si>
  <si>
    <t xml:space="preserve">Tucson</t>
  </si>
  <si>
    <t xml:space="preserve">AZ</t>
  </si>
  <si>
    <t xml:space="preserve">Gregory Adams</t>
  </si>
  <si>
    <t xml:space="preserve">44</t>
  </si>
  <si>
    <t xml:space="preserve">November 31st, 2025</t>
  </si>
  <si>
    <t xml:space="preserve">Caleb Ward</t>
  </si>
  <si>
    <t xml:space="preserve">93,600 dollars</t>
  </si>
  <si>
    <t xml:space="preserve">5.800 mi</t>
  </si>
  <si>
    <t xml:space="preserve">fresno</t>
  </si>
  <si>
    <t xml:space="preserve">Laura West</t>
  </si>
  <si>
    <t xml:space="preserve">45</t>
  </si>
  <si>
    <t xml:space="preserve">2025-12-07 00:00:00</t>
  </si>
  <si>
    <t xml:space="preserve">Stella Brooks</t>
  </si>
  <si>
    <t xml:space="preserve">$129k</t>
  </si>
  <si>
    <t xml:space="preserve">Virginia Beach</t>
  </si>
  <si>
    <t xml:space="preserve">VA</t>
  </si>
  <si>
    <t xml:space="preserve">Henry King</t>
  </si>
  <si>
    <t xml:space="preserve">46</t>
  </si>
  <si>
    <t xml:space="preserve">12-22-25</t>
  </si>
  <si>
    <t xml:space="preserve">Owen Bryant</t>
  </si>
  <si>
    <t xml:space="preserve">Panamera Turbo</t>
  </si>
  <si>
    <t xml:space="preserve">USD 136.000</t>
  </si>
  <si>
    <t xml:space="preserve">18,400 miles</t>
  </si>
  <si>
    <t xml:space="preserve">colorado springs</t>
  </si>
  <si>
    <t xml:space="preserve">Colorado</t>
  </si>
  <si>
    <t xml:space="preserve">amber clark</t>
  </si>
  <si>
    <t xml:space="preserve">47</t>
  </si>
  <si>
    <t xml:space="preserve">2025-12-40</t>
  </si>
  <si>
    <t xml:space="preserve">Nora Simmons</t>
  </si>
  <si>
    <t xml:space="preserve">911 GT3 RS</t>
  </si>
  <si>
    <t xml:space="preserve">$286,500</t>
  </si>
  <si>
    <t xml:space="preserve">700 miles</t>
  </si>
  <si>
    <t xml:space="preserve">Arlington</t>
  </si>
  <si>
    <t xml:space="preserve">PETER Lane</t>
  </si>
  <si>
    <t xml:space="preserve">48</t>
  </si>
  <si>
    <t xml:space="preserve">Jan 8th 2026</t>
  </si>
  <si>
    <t xml:space="preserve">Isaac Butler</t>
  </si>
  <si>
    <t xml:space="preserve">92.800 USD</t>
  </si>
  <si>
    <t xml:space="preserve">fifteen thousand miles</t>
  </si>
  <si>
    <t xml:space="preserve">Bakersfield</t>
  </si>
  <si>
    <t xml:space="preserve">Grace Morris</t>
  </si>
  <si>
    <t xml:space="preserve">49</t>
  </si>
  <si>
    <t xml:space="preserve">2026-01-15 00:00:00</t>
  </si>
  <si>
    <t xml:space="preserve">Leah Henderson</t>
  </si>
  <si>
    <t xml:space="preserve">$72,400.00</t>
  </si>
  <si>
    <t xml:space="preserve">19,750 mi.</t>
  </si>
  <si>
    <t xml:space="preserve">Mesa</t>
  </si>
  <si>
    <t xml:space="preserve">Kyle Perry</t>
  </si>
  <si>
    <t xml:space="preserve">50</t>
  </si>
  <si>
    <t xml:space="preserve">01/28/2026</t>
  </si>
  <si>
    <t xml:space="preserve">Christian Bailey</t>
  </si>
  <si>
    <t xml:space="preserve">twenty twenty five</t>
  </si>
  <si>
    <t xml:space="preserve">158500 USD</t>
  </si>
  <si>
    <t xml:space="preserve">3,200 miles</t>
  </si>
  <si>
    <t xml:space="preserve">Atlanta</t>
  </si>
  <si>
    <t xml:space="preserve">GA</t>
  </si>
  <si>
    <t xml:space="preserve">megan reed</t>
  </si>
  <si>
    <t xml:space="preserve">51</t>
  </si>
  <si>
    <t xml:space="preserve">2026-02-03 00:00:00</t>
  </si>
  <si>
    <t xml:space="preserve">Audrey Russell</t>
  </si>
  <si>
    <t xml:space="preserve">USD 69,900.00</t>
  </si>
  <si>
    <t xml:space="preserve">27.600 miles</t>
  </si>
  <si>
    <t xml:space="preserve">long beach</t>
  </si>
  <si>
    <t xml:space="preserve">Carl Simmons</t>
  </si>
  <si>
    <t xml:space="preserve">52</t>
  </si>
  <si>
    <t xml:space="preserve">February 30th, 2026</t>
  </si>
  <si>
    <t xml:space="preserve">Hunter Griffin</t>
  </si>
  <si>
    <t xml:space="preserve">911 Targa 4</t>
  </si>
  <si>
    <t xml:space="preserve">$141.250</t>
  </si>
  <si>
    <t xml:space="preserve">2.100 mi</t>
  </si>
  <si>
    <t xml:space="preserve">Oakland</t>
  </si>
  <si>
    <t xml:space="preserve">LINDA cole</t>
  </si>
  <si>
    <t xml:space="preserve">53</t>
  </si>
  <si>
    <t xml:space="preserve">2026-02-19 00:00:00</t>
  </si>
  <si>
    <t xml:space="preserve">Scarlett Diaz</t>
  </si>
  <si>
    <t xml:space="preserve">71,500 dollars</t>
  </si>
  <si>
    <t xml:space="preserve">52,000 miles</t>
  </si>
  <si>
    <t xml:space="preserve">Tulsa</t>
  </si>
  <si>
    <t xml:space="preserve">OK</t>
  </si>
  <si>
    <t xml:space="preserve">Martin Brooks</t>
  </si>
  <si>
    <t xml:space="preserve">54</t>
  </si>
  <si>
    <t xml:space="preserve">02/25/26</t>
  </si>
  <si>
    <t xml:space="preserve">Eli Jenkins</t>
  </si>
  <si>
    <t xml:space="preserve">Cayenne Turbo</t>
  </si>
  <si>
    <t xml:space="preserve">20 23</t>
  </si>
  <si>
    <t xml:space="preserve">USD $146,800</t>
  </si>
  <si>
    <t xml:space="preserve">Miles 11.300</t>
  </si>
  <si>
    <t xml:space="preserve">Wichita</t>
  </si>
  <si>
    <t xml:space="preserve">Kansas</t>
  </si>
  <si>
    <t xml:space="preserve">Diana Long</t>
  </si>
  <si>
    <t xml:space="preserve">55</t>
  </si>
  <si>
    <t xml:space="preserve">2026.03.01</t>
  </si>
  <si>
    <t xml:space="preserve">Madison Powell</t>
  </si>
  <si>
    <t xml:space="preserve">$89,700</t>
  </si>
  <si>
    <t xml:space="preserve">new orleans</t>
  </si>
  <si>
    <t xml:space="preserve">la</t>
  </si>
  <si>
    <t xml:space="preserve">Steve Ross</t>
  </si>
  <si>
    <t xml:space="preserve">56</t>
  </si>
  <si>
    <t xml:space="preserve">2026-03-14 00:00:00</t>
  </si>
  <si>
    <t xml:space="preserve">Adrian Sanders</t>
  </si>
  <si>
    <t xml:space="preserve">104.600 USD</t>
  </si>
  <si>
    <t xml:space="preserve">15,900mi</t>
  </si>
  <si>
    <t xml:space="preserve">Honolulu</t>
  </si>
  <si>
    <t xml:space="preserve">HI</t>
  </si>
  <si>
    <t xml:space="preserve">Olivia Cruz</t>
  </si>
  <si>
    <t xml:space="preserve">57</t>
  </si>
  <si>
    <t xml:space="preserve">03/32/2026</t>
  </si>
  <si>
    <t xml:space="preserve">Penelope Barnes</t>
  </si>
  <si>
    <t xml:space="preserve">$142,000</t>
  </si>
  <si>
    <t xml:space="preserve">6,600 miles</t>
  </si>
  <si>
    <t xml:space="preserve">Anaheim</t>
  </si>
  <si>
    <t xml:space="preserve">58</t>
  </si>
  <si>
    <t xml:space="preserve">2026-04-08 00:00:00</t>
  </si>
  <si>
    <t xml:space="preserve">Nolan Fisher</t>
  </si>
  <si>
    <t xml:space="preserve">78,400 usd</t>
  </si>
  <si>
    <t xml:space="preserve">40,250 miles</t>
  </si>
  <si>
    <t xml:space="preserve">Henderson</t>
  </si>
  <si>
    <t xml:space="preserve">Nevada</t>
  </si>
  <si>
    <t xml:space="preserve">Karen Stone</t>
  </si>
  <si>
    <t xml:space="preserve">awaiting review</t>
  </si>
  <si>
    <t xml:space="preserve">59</t>
  </si>
  <si>
    <t xml:space="preserve">April 31st, 2026</t>
  </si>
  <si>
    <t xml:space="preserve">Layla Marshall</t>
  </si>
  <si>
    <t xml:space="preserve">$169k</t>
  </si>
  <si>
    <t xml:space="preserve">850 mi</t>
  </si>
  <si>
    <t xml:space="preserve">Lexington</t>
  </si>
  <si>
    <t xml:space="preserve">KY</t>
  </si>
  <si>
    <t xml:space="preserve">justin fox</t>
  </si>
  <si>
    <t xml:space="preserve">60</t>
  </si>
  <si>
    <t xml:space="preserve">2026-04-21 00:00:00</t>
  </si>
  <si>
    <t xml:space="preserve">Gabriel Owens</t>
  </si>
  <si>
    <t xml:space="preserve">USD 268.900</t>
  </si>
  <si>
    <t xml:space="preserve">1.400 miles</t>
  </si>
  <si>
    <t xml:space="preserve">Riverside</t>
  </si>
  <si>
    <t xml:space="preserve">Betty James</t>
  </si>
  <si>
    <t xml:space="preserve">61</t>
  </si>
  <si>
    <t xml:space="preserve">04/29/26</t>
  </si>
  <si>
    <t xml:space="preserve">Victoria Hart</t>
  </si>
  <si>
    <t xml:space="preserve">$101,300.00</t>
  </si>
  <si>
    <t xml:space="preserve">12,700mi</t>
  </si>
  <si>
    <t xml:space="preserve">Corpus Christi</t>
  </si>
  <si>
    <t xml:space="preserve">Gary Price</t>
  </si>
  <si>
    <t xml:space="preserve">62</t>
  </si>
  <si>
    <t xml:space="preserve">2026.05.05</t>
  </si>
  <si>
    <t xml:space="preserve">Julian Stone</t>
  </si>
  <si>
    <t xml:space="preserve">twenty twenty one</t>
  </si>
  <si>
    <t xml:space="preserve">66.750 USD</t>
  </si>
  <si>
    <t xml:space="preserve">29,800 miles</t>
  </si>
  <si>
    <t xml:space="preserve">St. Louis</t>
  </si>
  <si>
    <t xml:space="preserve">Missouri</t>
  </si>
  <si>
    <t xml:space="preserve">maria green</t>
  </si>
  <si>
    <t xml:space="preserve">63</t>
  </si>
  <si>
    <t xml:space="preserve">May 14th, 2026</t>
  </si>
  <si>
    <t xml:space="preserve">Brooklyn Webb</t>
  </si>
  <si>
    <t xml:space="preserve">$127,900</t>
  </si>
  <si>
    <t xml:space="preserve">Miles: 7.500</t>
  </si>
  <si>
    <t xml:space="preserve">Pittsburgh</t>
  </si>
  <si>
    <t xml:space="preserve">PA</t>
  </si>
  <si>
    <t xml:space="preserve">Harold Young</t>
  </si>
  <si>
    <t xml:space="preserve">64</t>
  </si>
  <si>
    <t xml:space="preserve">2026-05-23 00:00:00</t>
  </si>
  <si>
    <t xml:space="preserve">Aaron Kim</t>
  </si>
  <si>
    <t xml:space="preserve">two hundred thousand USD</t>
  </si>
  <si>
    <t xml:space="preserve">1,950 mi</t>
  </si>
  <si>
    <t xml:space="preserve">Cincinnati</t>
  </si>
  <si>
    <t xml:space="preserve">Teresa Ward</t>
  </si>
  <si>
    <t xml:space="preserve">65</t>
  </si>
  <si>
    <t xml:space="preserve">2026-06-02 00:00:00</t>
  </si>
  <si>
    <t xml:space="preserve">Claire Watson</t>
  </si>
  <si>
    <t xml:space="preserve">$132,000</t>
  </si>
  <si>
    <t xml:space="preserve">8.800 miles</t>
  </si>
  <si>
    <t xml:space="preserve">Anchorage</t>
  </si>
  <si>
    <t xml:space="preserve">Alaska</t>
  </si>
  <si>
    <t xml:space="preserve">Frank Reed</t>
  </si>
  <si>
    <t xml:space="preserve">66</t>
  </si>
  <si>
    <t xml:space="preserve">06/15/2026</t>
  </si>
  <si>
    <t xml:space="preserve">Sebastian Brooks</t>
  </si>
  <si>
    <t xml:space="preserve">USD $176,400</t>
  </si>
  <si>
    <t xml:space="preserve">600 miles</t>
  </si>
  <si>
    <t xml:space="preserve">Plano</t>
  </si>
  <si>
    <t xml:space="preserve">Angela Moore</t>
  </si>
  <si>
    <t xml:space="preserve">67</t>
  </si>
  <si>
    <t xml:space="preserve">2026-06-31</t>
  </si>
  <si>
    <t xml:space="preserve">Bella Ramirez</t>
  </si>
  <si>
    <t xml:space="preserve">108.500 dollars</t>
  </si>
  <si>
    <t xml:space="preserve">16,200 miles</t>
  </si>
  <si>
    <t xml:space="preserve">Newark</t>
  </si>
  <si>
    <t xml:space="preserve">nj</t>
  </si>
  <si>
    <t xml:space="preserve">rachel west</t>
  </si>
  <si>
    <t xml:space="preserve">68</t>
  </si>
  <si>
    <t xml:space="preserve">2026-07-07 00:00:00</t>
  </si>
  <si>
    <t xml:space="preserve">Miles Peterson</t>
  </si>
  <si>
    <t xml:space="preserve">$59k</t>
  </si>
  <si>
    <t xml:space="preserve">36,000 mi</t>
  </si>
  <si>
    <t xml:space="preserve">Greensboro</t>
  </si>
  <si>
    <t xml:space="preserve">North Carolina</t>
  </si>
  <si>
    <t xml:space="preserve">Thomas Fox</t>
  </si>
  <si>
    <t xml:space="preserve">69</t>
  </si>
  <si>
    <t xml:space="preserve">July 20th, 2026</t>
  </si>
  <si>
    <t xml:space="preserve">Skylar Rogers</t>
  </si>
  <si>
    <t xml:space="preserve">218000 USD</t>
  </si>
  <si>
    <t xml:space="preserve">zero</t>
  </si>
  <si>
    <t xml:space="preserve">Lincoln</t>
  </si>
  <si>
    <t xml:space="preserve">Nebraska</t>
  </si>
  <si>
    <t xml:space="preserve">LISA Dunn</t>
  </si>
  <si>
    <t xml:space="preserve">70</t>
  </si>
  <si>
    <t xml:space="preserve">2026-07-35</t>
  </si>
  <si>
    <t xml:space="preserve">Dominic Kelly</t>
  </si>
  <si>
    <t xml:space="preserve">USD 99.950</t>
  </si>
  <si>
    <t xml:space="preserve">5,300 miles</t>
  </si>
  <si>
    <t xml:space="preserve">Jersey City</t>
  </si>
  <si>
    <t xml:space="preserve">NJ</t>
  </si>
  <si>
    <t xml:space="preserve">Brian Allen</t>
  </si>
  <si>
    <t xml:space="preserve">71</t>
  </si>
  <si>
    <t xml:space="preserve">Lucy Howard</t>
  </si>
  <si>
    <t xml:space="preserve">$121.750,00</t>
  </si>
  <si>
    <t xml:space="preserve">KM 9,450</t>
  </si>
  <si>
    <t xml:space="preserve">chandler</t>
  </si>
  <si>
    <t xml:space="preserve">az</t>
  </si>
  <si>
    <t xml:space="preserve">George Hall</t>
  </si>
  <si>
    <t xml:space="preserve">72</t>
  </si>
  <si>
    <t xml:space="preserve">2026.08.18</t>
  </si>
  <si>
    <t xml:space="preserve">Everett Cox</t>
  </si>
  <si>
    <t xml:space="preserve">718 Boxster GTS</t>
  </si>
  <si>
    <t xml:space="preserve">91,500 USD</t>
  </si>
  <si>
    <t xml:space="preserve">13.300 mi</t>
  </si>
  <si>
    <t xml:space="preserve">Reno</t>
  </si>
  <si>
    <t xml:space="preserve">Helen King</t>
  </si>
  <si>
    <t xml:space="preserve">73</t>
  </si>
  <si>
    <t xml:space="preserve">August 31st, 2026</t>
  </si>
  <si>
    <t xml:space="preserve">Maya Rivera</t>
  </si>
  <si>
    <t xml:space="preserve">$134k</t>
  </si>
  <si>
    <t xml:space="preserve">20,100 miles</t>
  </si>
  <si>
    <t xml:space="preserve">Buffalo</t>
  </si>
  <si>
    <t xml:space="preserve">74</t>
  </si>
  <si>
    <t xml:space="preserve">2026-09-09 00:00:00</t>
  </si>
  <si>
    <t xml:space="preserve">Connor Ward</t>
  </si>
  <si>
    <t xml:space="preserve">$96,800.00</t>
  </si>
  <si>
    <t xml:space="preserve">new car</t>
  </si>
  <si>
    <t xml:space="preserve">Durham</t>
  </si>
  <si>
    <t xml:space="preserve">Peter Ford</t>
  </si>
  <si>
    <t xml:space="preserve">75</t>
  </si>
  <si>
    <t xml:space="preserve">09/17/2026</t>
  </si>
  <si>
    <t xml:space="preserve">Eliana Bell</t>
  </si>
  <si>
    <t xml:space="preserve">20-25</t>
  </si>
  <si>
    <t xml:space="preserve">USD 131,600</t>
  </si>
  <si>
    <t xml:space="preserve">2,900mi</t>
  </si>
  <si>
    <t xml:space="preserve">Laredo</t>
  </si>
  <si>
    <t xml:space="preserve">76</t>
  </si>
  <si>
    <t xml:space="preserve">2026-09-28 00:00:00</t>
  </si>
  <si>
    <t xml:space="preserve">Cameron Murphy</t>
  </si>
  <si>
    <t xml:space="preserve">$94.300</t>
  </si>
  <si>
    <t xml:space="preserve">13,100 miles</t>
  </si>
  <si>
    <t xml:space="preserve">Madison</t>
  </si>
  <si>
    <t xml:space="preserve">77</t>
  </si>
  <si>
    <t xml:space="preserve">2026-10-06 00:00:00</t>
  </si>
  <si>
    <t xml:space="preserve">Ariana Cook</t>
  </si>
  <si>
    <t xml:space="preserve">242.000 USD</t>
  </si>
  <si>
    <t xml:space="preserve">1.100 miles</t>
  </si>
  <si>
    <t xml:space="preserve">crypto</t>
  </si>
  <si>
    <t xml:space="preserve">Lubbock</t>
  </si>
  <si>
    <t xml:space="preserve">Rachel Turner</t>
  </si>
  <si>
    <t xml:space="preserve">78</t>
  </si>
  <si>
    <t xml:space="preserve">10/16/26</t>
  </si>
  <si>
    <t xml:space="preserve">Wesley Morgan</t>
  </si>
  <si>
    <t xml:space="preserve">718 Cayman S</t>
  </si>
  <si>
    <t xml:space="preserve">$82,750</t>
  </si>
  <si>
    <t xml:space="preserve">22,500 miles</t>
  </si>
  <si>
    <t xml:space="preserve">Toledo</t>
  </si>
  <si>
    <t xml:space="preserve">Ohio</t>
  </si>
  <si>
    <t xml:space="preserve">79</t>
  </si>
  <si>
    <t xml:space="preserve">October 29th, 2026</t>
  </si>
  <si>
    <t xml:space="preserve">Naomi Peterson</t>
  </si>
  <si>
    <t xml:space="preserve">twenty twenty six</t>
  </si>
  <si>
    <t xml:space="preserve">USD $91,300</t>
  </si>
  <si>
    <t xml:space="preserve">0 mi</t>
  </si>
  <si>
    <t xml:space="preserve">Irvine</t>
  </si>
  <si>
    <t xml:space="preserve">80</t>
  </si>
  <si>
    <t xml:space="preserve">2026-11-03 00:00:00</t>
  </si>
  <si>
    <t xml:space="preserve">Jason Perry</t>
  </si>
  <si>
    <t xml:space="preserve">79,900 dollars</t>
  </si>
  <si>
    <t xml:space="preserve">44.800 miles</t>
  </si>
  <si>
    <t xml:space="preserve">Garland</t>
  </si>
  <si>
    <t xml:space="preserve">81</t>
  </si>
  <si>
    <t xml:space="preserve">11/31/2026</t>
  </si>
  <si>
    <t xml:space="preserve">Riley Flores</t>
  </si>
  <si>
    <t xml:space="preserve">$111k</t>
  </si>
  <si>
    <t xml:space="preserve">6,700 miles</t>
  </si>
  <si>
    <t xml:space="preserve">Irving</t>
  </si>
  <si>
    <t xml:space="preserve">82</t>
  </si>
  <si>
    <t xml:space="preserve">2026.12.11</t>
  </si>
  <si>
    <t xml:space="preserve">Hazel Long</t>
  </si>
  <si>
    <t xml:space="preserve">156500 USD</t>
  </si>
  <si>
    <t xml:space="preserve">Miles 4,200</t>
  </si>
  <si>
    <t xml:space="preserve">Chesapeake</t>
  </si>
  <si>
    <t xml:space="preserve">83</t>
  </si>
  <si>
    <t xml:space="preserve">Dec 24th 2026</t>
  </si>
  <si>
    <t xml:space="preserve">Easton Bailey</t>
  </si>
  <si>
    <t xml:space="preserve">$119.900</t>
  </si>
  <si>
    <t xml:space="preserve">1.250 mi</t>
  </si>
  <si>
    <t xml:space="preserve">Scottsdale</t>
  </si>
  <si>
    <t xml:space="preserve">Arizona</t>
  </si>
  <si>
    <t xml:space="preserve">84</t>
  </si>
  <si>
    <t xml:space="preserve">2026-12-38</t>
  </si>
  <si>
    <t xml:space="preserve">Aurora Cooper</t>
  </si>
  <si>
    <t xml:space="preserve">USD 73,200</t>
  </si>
  <si>
    <t xml:space="preserve">18,600mi</t>
  </si>
  <si>
    <t xml:space="preserve">Norfolk</t>
  </si>
  <si>
    <t xml:space="preserve">va</t>
  </si>
  <si>
    <t xml:space="preserve">85</t>
  </si>
  <si>
    <t xml:space="preserve">12/28/26</t>
  </si>
  <si>
    <t xml:space="preserve">Colton Richardson</t>
  </si>
  <si>
    <t xml:space="preserve">$224,000.00</t>
  </si>
  <si>
    <t xml:space="preserve">3,000 miles</t>
  </si>
  <si>
    <t xml:space="preserve">Boise</t>
  </si>
  <si>
    <t xml:space="preserve">Idaho</t>
  </si>
  <si>
    <t xml:space="preserve">86</t>
  </si>
  <si>
    <t xml:space="preserve">2027-01-15 00:00:00</t>
  </si>
  <si>
    <t xml:space="preserve">Mason Stewart</t>
  </si>
  <si>
    <t xml:space="preserve">$126,900.00</t>
  </si>
  <si>
    <t xml:space="preserve">7,200 miles</t>
  </si>
  <si>
    <t xml:space="preserve">orlando</t>
  </si>
  <si>
    <t xml:space="preserve">kevin brown</t>
  </si>
  <si>
    <t xml:space="preserve">87</t>
  </si>
  <si>
    <t xml:space="preserve">01/29/27</t>
  </si>
  <si>
    <t xml:space="preserve">Harper Reed</t>
  </si>
  <si>
    <t xml:space="preserve">84,500 USD</t>
  </si>
  <si>
    <t xml:space="preserve">21.400 mi</t>
  </si>
  <si>
    <t xml:space="preserve">San Jose</t>
  </si>
  <si>
    <t xml:space="preserve">AMANDA Lee</t>
  </si>
  <si>
    <t xml:space="preserve">88</t>
  </si>
  <si>
    <t xml:space="preserve">2027-02-11 00:00:00</t>
  </si>
  <si>
    <t xml:space="preserve">Tyler-Morris</t>
  </si>
  <si>
    <t xml:space="preserve">USD 69.800</t>
  </si>
  <si>
    <t xml:space="preserve">Miles: 26,300</t>
  </si>
  <si>
    <t xml:space="preserve">89</t>
  </si>
  <si>
    <t xml:space="preserve">February 30th, 2027</t>
  </si>
  <si>
    <t xml:space="preserve">Natalie Brooks</t>
  </si>
  <si>
    <t xml:space="preserve">132.700 dollars</t>
  </si>
  <si>
    <t xml:space="preserve">jessica white</t>
  </si>
  <si>
    <t xml:space="preserve">90</t>
  </si>
  <si>
    <t xml:space="preserve">2027-03-05 00:00:00</t>
  </si>
  <si>
    <t xml:space="preserve">Brandon Parker</t>
  </si>
  <si>
    <t xml:space="preserve">20-21</t>
  </si>
  <si>
    <t xml:space="preserve">$81k</t>
  </si>
  <si>
    <t xml:space="preserve">Austin</t>
  </si>
  <si>
    <t xml:space="preserve">91</t>
  </si>
  <si>
    <t xml:space="preserve">03/18/2027</t>
  </si>
  <si>
    <t xml:space="preserve">Lauren Foster</t>
  </si>
  <si>
    <t xml:space="preserve">78,900 USD</t>
  </si>
  <si>
    <t xml:space="preserve">17.500 miles</t>
  </si>
  <si>
    <t xml:space="preserve">seattle</t>
  </si>
  <si>
    <t xml:space="preserve">wa</t>
  </si>
  <si>
    <t xml:space="preserve">92</t>
  </si>
  <si>
    <t xml:space="preserve">2027.04.02</t>
  </si>
  <si>
    <t xml:space="preserve">Adam Hughes</t>
  </si>
  <si>
    <t xml:space="preserve">USD $249,300</t>
  </si>
  <si>
    <t xml:space="preserve">900mi</t>
  </si>
  <si>
    <t xml:space="preserve">Boston</t>
  </si>
  <si>
    <t xml:space="preserve">Massachusetts</t>
  </si>
  <si>
    <t xml:space="preserve">monica green</t>
  </si>
  <si>
    <t xml:space="preserve">93</t>
  </si>
  <si>
    <t xml:space="preserve">2027/15/04</t>
  </si>
  <si>
    <t xml:space="preserve">Julia Coleman</t>
  </si>
  <si>
    <t xml:space="preserve">$108.750,00</t>
  </si>
  <si>
    <t xml:space="preserve">KM 8,900</t>
  </si>
  <si>
    <t xml:space="preserve">Phoenix</t>
  </si>
  <si>
    <t xml:space="preserve">94</t>
  </si>
  <si>
    <t xml:space="preserve">April 31st, 2027</t>
  </si>
  <si>
    <t xml:space="preserve">Caleb Simmons</t>
  </si>
  <si>
    <t xml:space="preserve">2026</t>
  </si>
  <si>
    <t xml:space="preserve">92,600 dollars</t>
  </si>
  <si>
    <t xml:space="preserve">Illinois</t>
  </si>
  <si>
    <t xml:space="preserve">95</t>
  </si>
  <si>
    <t xml:space="preserve">2027-05-12 00:00:00</t>
  </si>
  <si>
    <t xml:space="preserve">Ariana Price</t>
  </si>
  <si>
    <t xml:space="preserve">$164k</t>
  </si>
  <si>
    <t xml:space="preserve">Dallas</t>
  </si>
  <si>
    <t xml:space="preserve">96</t>
  </si>
  <si>
    <t xml:space="preserve">05-27-27</t>
  </si>
  <si>
    <t xml:space="preserve">Owen Rivera</t>
  </si>
  <si>
    <t xml:space="preserve">USD 119.000</t>
  </si>
  <si>
    <t xml:space="preserve">13,400 miles</t>
  </si>
  <si>
    <t xml:space="preserve">san francisco</t>
  </si>
  <si>
    <t xml:space="preserve">97</t>
  </si>
  <si>
    <t xml:space="preserve">2027-06-40</t>
  </si>
  <si>
    <t xml:space="preserve">Nora Bennett</t>
  </si>
  <si>
    <t xml:space="preserve">$232,500</t>
  </si>
  <si>
    <t xml:space="preserve">1,700 miles</t>
  </si>
  <si>
    <t xml:space="preserve">nv</t>
  </si>
  <si>
    <t xml:space="preserve">98</t>
  </si>
  <si>
    <t xml:space="preserve">Jun 18th 2027</t>
  </si>
  <si>
    <t xml:space="preserve">Isaac Turner</t>
  </si>
  <si>
    <t xml:space="preserve">96.800 USD</t>
  </si>
  <si>
    <t xml:space="preserve">fourteen thousand miles</t>
  </si>
  <si>
    <t xml:space="preserve">99</t>
  </si>
  <si>
    <t xml:space="preserve">2027-07-03 00:00:00</t>
  </si>
  <si>
    <t xml:space="preserve">Leah Scott</t>
  </si>
  <si>
    <t xml:space="preserve">$74,400.00</t>
  </si>
  <si>
    <t xml:space="preserve">20,750 mi.</t>
  </si>
  <si>
    <t xml:space="preserve">100</t>
  </si>
  <si>
    <t xml:space="preserve">07/22/2027</t>
  </si>
  <si>
    <t xml:space="preserve">148500 USD</t>
  </si>
  <si>
    <t xml:space="preserve">5,200 miles</t>
  </si>
  <si>
    <t xml:space="preserve">101</t>
  </si>
  <si>
    <t xml:space="preserve">2027-08-08 00:00:00</t>
  </si>
  <si>
    <t xml:space="preserve">USD 71,900.00</t>
  </si>
  <si>
    <t xml:space="preserve">29.600 miles</t>
  </si>
  <si>
    <t xml:space="preserve">102</t>
  </si>
  <si>
    <t xml:space="preserve">August 32nd, 2027</t>
  </si>
  <si>
    <t xml:space="preserve">$143.250</t>
  </si>
  <si>
    <t xml:space="preserve">3.100 mi</t>
  </si>
  <si>
    <t xml:space="preserve">103</t>
  </si>
  <si>
    <t xml:space="preserve">2027-09-19 00:00:00</t>
  </si>
  <si>
    <t xml:space="preserve">137,500 dollars</t>
  </si>
  <si>
    <t xml:space="preserve">48,000 miles</t>
  </si>
  <si>
    <t xml:space="preserve">104</t>
  </si>
  <si>
    <t xml:space="preserve">09/25/27</t>
  </si>
  <si>
    <t xml:space="preserve">20 25</t>
  </si>
  <si>
    <t xml:space="preserve">USD $204,800</t>
  </si>
  <si>
    <t xml:space="preserve">Miles 3.300</t>
  </si>
  <si>
    <t xml:space="preserve">105</t>
  </si>
  <si>
    <t xml:space="preserve">2027.10.01</t>
  </si>
  <si>
    <t xml:space="preserve">$271,700</t>
  </si>
  <si>
    <t xml:space="preserve">Esta aba reproduz a base exatamente como recebida (texto livre, formatos inconsistentes de data/preço/quilometragem, capitalização irregular etc.). É a ENTRADA do Agente de Tratamento de Dados — veja a aba Dados_Tratados.</t>
  </si>
  <si>
    <t xml:space="preserve">✅  Dados Tratados — Saída do Agente de Tratamento de Dados</t>
  </si>
  <si>
    <t xml:space="preserve">Gerada automaticamente pelo script agente_tratamento_dados.py — não editar manualmente.</t>
  </si>
  <si>
    <t xml:space="preserve">Data da Venda</t>
  </si>
  <si>
    <t xml:space="preserve">Cliente</t>
  </si>
  <si>
    <t xml:space="preserve">Ano</t>
  </si>
  <si>
    <t xml:space="preserve">Preço (R$)</t>
  </si>
  <si>
    <t xml:space="preserve">Quilometragem (mi)</t>
  </si>
  <si>
    <t xml:space="preserve">Pagamento</t>
  </si>
  <si>
    <t xml:space="preserve">Cidade</t>
  </si>
  <si>
    <t xml:space="preserve">UF</t>
  </si>
  <si>
    <t xml:space="preserve">Vendedor</t>
  </si>
  <si>
    <t xml:space="preserve">Status Entrega</t>
  </si>
  <si>
    <t xml:space="preserve">Ano-Mês</t>
  </si>
  <si>
    <t xml:space="preserve">Data inválida</t>
  </si>
  <si>
    <t xml:space="preserve">MA</t>
  </si>
  <si>
    <t xml:space="preserve">Kevin Brown</t>
  </si>
  <si>
    <t xml:space="preserve">2024-03-14</t>
  </si>
  <si>
    <t xml:space="preserve">Sophia Miller</t>
  </si>
  <si>
    <t xml:space="preserve">WA</t>
  </si>
  <si>
    <t xml:space="preserve">Amanda Scott</t>
  </si>
  <si>
    <t xml:space="preserve">2024-03</t>
  </si>
  <si>
    <t xml:space="preserve">2024-04-18</t>
  </si>
  <si>
    <t xml:space="preserve">Daniel Jones</t>
  </si>
  <si>
    <t xml:space="preserve">2024-04</t>
  </si>
  <si>
    <t xml:space="preserve">Cash</t>
  </si>
  <si>
    <t xml:space="preserve">CO</t>
  </si>
  <si>
    <t xml:space="preserve">Jessica White</t>
  </si>
  <si>
    <t xml:space="preserve">2024-05-22</t>
  </si>
  <si>
    <t xml:space="preserve">Los Angeles</t>
  </si>
  <si>
    <t xml:space="preserve">2024-05</t>
  </si>
  <si>
    <t xml:space="preserve">2024-08-06</t>
  </si>
  <si>
    <t xml:space="preserve">Lisa Ray</t>
  </si>
  <si>
    <t xml:space="preserve">Cancelled</t>
  </si>
  <si>
    <t xml:space="preserve">2024-08</t>
  </si>
  <si>
    <t xml:space="preserve">2024-07-11</t>
  </si>
  <si>
    <t xml:space="preserve">Lease</t>
  </si>
  <si>
    <t xml:space="preserve">NY</t>
  </si>
  <si>
    <t xml:space="preserve">2024-07</t>
  </si>
  <si>
    <t xml:space="preserve">Nancy Reed</t>
  </si>
  <si>
    <t xml:space="preserve">Pending Approval</t>
  </si>
  <si>
    <t xml:space="preserve">2024-08-19</t>
  </si>
  <si>
    <t xml:space="preserve">Debit Card</t>
  </si>
  <si>
    <t xml:space="preserve">Chicago</t>
  </si>
  <si>
    <t xml:space="preserve">Shipped</t>
  </si>
  <si>
    <t xml:space="preserve">2024-09-02</t>
  </si>
  <si>
    <t xml:space="preserve">2024-09</t>
  </si>
  <si>
    <t xml:space="preserve">2024-09-17</t>
  </si>
  <si>
    <t xml:space="preserve">ACH Payment</t>
  </si>
  <si>
    <t xml:space="preserve">Samuel Price</t>
  </si>
  <si>
    <t xml:space="preserve">2024-05-11</t>
  </si>
  <si>
    <t xml:space="preserve">2024-12-12</t>
  </si>
  <si>
    <t xml:space="preserve">Crypto Payment</t>
  </si>
  <si>
    <t xml:space="preserve">Awaiting Delivery</t>
  </si>
  <si>
    <t xml:space="preserve">2024-12</t>
  </si>
  <si>
    <t xml:space="preserve">2024-12-25</t>
  </si>
  <si>
    <t xml:space="preserve">2025-01-06</t>
  </si>
  <si>
    <t xml:space="preserve">2025-01</t>
  </si>
  <si>
    <t xml:space="preserve">Portland</t>
  </si>
  <si>
    <t xml:space="preserve">Laura Hill</t>
  </si>
  <si>
    <t xml:space="preserve">2025-02-14</t>
  </si>
  <si>
    <t xml:space="preserve">2025-02</t>
  </si>
  <si>
    <t xml:space="preserve">Nashville</t>
  </si>
  <si>
    <t xml:space="preserve">2025-03-21</t>
  </si>
  <si>
    <t xml:space="preserve">Minneapolis</t>
  </si>
  <si>
    <t xml:space="preserve">MN</t>
  </si>
  <si>
    <t xml:space="preserve">2025-03</t>
  </si>
  <si>
    <t xml:space="preserve">2025-03-28</t>
  </si>
  <si>
    <t xml:space="preserve">2025-04-09</t>
  </si>
  <si>
    <t xml:space="preserve">San Antonio</t>
  </si>
  <si>
    <t xml:space="preserve">2025-04</t>
  </si>
  <si>
    <t xml:space="preserve">UT</t>
  </si>
  <si>
    <t xml:space="preserve">Awaiting Pickup</t>
  </si>
  <si>
    <t xml:space="preserve">2025-05-12</t>
  </si>
  <si>
    <t xml:space="preserve">2025-05</t>
  </si>
  <si>
    <t xml:space="preserve">2025-06-18</t>
  </si>
  <si>
    <t xml:space="preserve">MI</t>
  </si>
  <si>
    <t xml:space="preserve">2025-06</t>
  </si>
  <si>
    <t xml:space="preserve">OH</t>
  </si>
  <si>
    <t xml:space="preserve">2025-07-07</t>
  </si>
  <si>
    <t xml:space="preserve">Indianapolis</t>
  </si>
  <si>
    <t xml:space="preserve">IN</t>
  </si>
  <si>
    <t xml:space="preserve">Maria Foster</t>
  </si>
  <si>
    <t xml:space="preserve">2025-07</t>
  </si>
  <si>
    <t xml:space="preserve">2025-07-22</t>
  </si>
  <si>
    <t xml:space="preserve">2025-08-14</t>
  </si>
  <si>
    <t xml:space="preserve">2025-08</t>
  </si>
  <si>
    <t xml:space="preserve">2025-09-01</t>
  </si>
  <si>
    <t xml:space="preserve">Pending Review</t>
  </si>
  <si>
    <t xml:space="preserve">2025-09</t>
  </si>
  <si>
    <t xml:space="preserve">Tampa</t>
  </si>
  <si>
    <t xml:space="preserve">Natalie</t>
  </si>
  <si>
    <t xml:space="preserve">2025-09-18</t>
  </si>
  <si>
    <t xml:space="preserve">Eric Woods</t>
  </si>
  <si>
    <t xml:space="preserve">2025-10-04</t>
  </si>
  <si>
    <t xml:space="preserve">Ryan Cooper</t>
  </si>
  <si>
    <t xml:space="preserve">Cleveland</t>
  </si>
  <si>
    <t xml:space="preserve">2025-10</t>
  </si>
  <si>
    <t xml:space="preserve">2025-10-12</t>
  </si>
  <si>
    <t xml:space="preserve">WI</t>
  </si>
  <si>
    <t xml:space="preserve">Alan Price</t>
  </si>
  <si>
    <t xml:space="preserve">2025-10-29</t>
  </si>
  <si>
    <t xml:space="preserve">2025-02-11</t>
  </si>
  <si>
    <t xml:space="preserve">Omaha</t>
  </si>
  <si>
    <t xml:space="preserve">NE</t>
  </si>
  <si>
    <t xml:space="preserve">2025-11-16</t>
  </si>
  <si>
    <t xml:space="preserve">NM</t>
  </si>
  <si>
    <t xml:space="preserve">Monica Green</t>
  </si>
  <si>
    <t xml:space="preserve">2025-11</t>
  </si>
  <si>
    <t xml:space="preserve">Fresno</t>
  </si>
  <si>
    <t xml:space="preserve">2025-12-07</t>
  </si>
  <si>
    <t xml:space="preserve">2025-12</t>
  </si>
  <si>
    <t xml:space="preserve">2025-12-22</t>
  </si>
  <si>
    <t xml:space="preserve">Colorado Springs</t>
  </si>
  <si>
    <t xml:space="preserve">Amber Clark</t>
  </si>
  <si>
    <t xml:space="preserve">Peter Lane</t>
  </si>
  <si>
    <t xml:space="preserve">2026-01-08</t>
  </si>
  <si>
    <t xml:space="preserve">2026-01</t>
  </si>
  <si>
    <t xml:space="preserve">2026-01-15</t>
  </si>
  <si>
    <t xml:space="preserve">2026-01-28</t>
  </si>
  <si>
    <t xml:space="preserve">Megan Reed</t>
  </si>
  <si>
    <t xml:space="preserve">2026-02-03</t>
  </si>
  <si>
    <t xml:space="preserve">Long Beach</t>
  </si>
  <si>
    <t xml:space="preserve">2026-02</t>
  </si>
  <si>
    <t xml:space="preserve">Linda Cole</t>
  </si>
  <si>
    <t xml:space="preserve">2026-02-19</t>
  </si>
  <si>
    <t xml:space="preserve">2026-02-25</t>
  </si>
  <si>
    <t xml:space="preserve">KS</t>
  </si>
  <si>
    <t xml:space="preserve">2026-03-01</t>
  </si>
  <si>
    <t xml:space="preserve">New Orleans</t>
  </si>
  <si>
    <t xml:space="preserve">LA</t>
  </si>
  <si>
    <t xml:space="preserve">2026-03</t>
  </si>
  <si>
    <t xml:space="preserve">2026-03-14</t>
  </si>
  <si>
    <t xml:space="preserve">2026-04-08</t>
  </si>
  <si>
    <t xml:space="preserve">Awaiting Review</t>
  </si>
  <si>
    <t xml:space="preserve">2026-04</t>
  </si>
  <si>
    <t xml:space="preserve">Justin Fox</t>
  </si>
  <si>
    <t xml:space="preserve">2026-04-21</t>
  </si>
  <si>
    <t xml:space="preserve">2026-04-29</t>
  </si>
  <si>
    <t xml:space="preserve">2026-05-05</t>
  </si>
  <si>
    <t xml:space="preserve">Maria Green</t>
  </si>
  <si>
    <t xml:space="preserve">2026-05</t>
  </si>
  <si>
    <t xml:space="preserve">2026-05-14</t>
  </si>
  <si>
    <t xml:space="preserve">2026-05-23</t>
  </si>
  <si>
    <t xml:space="preserve">2026-06-02</t>
  </si>
  <si>
    <t xml:space="preserve">AK</t>
  </si>
  <si>
    <t xml:space="preserve">2026-06</t>
  </si>
  <si>
    <t xml:space="preserve">2026-06-15</t>
  </si>
  <si>
    <t xml:space="preserve">Rachel West</t>
  </si>
  <si>
    <t xml:space="preserve">2026-07-07</t>
  </si>
  <si>
    <t xml:space="preserve">2026-07</t>
  </si>
  <si>
    <t xml:space="preserve">2026-07-20</t>
  </si>
  <si>
    <t xml:space="preserve">Lisa Dunn</t>
  </si>
  <si>
    <t xml:space="preserve">Chandler</t>
  </si>
  <si>
    <t xml:space="preserve">2026-08-18</t>
  </si>
  <si>
    <t xml:space="preserve">2026-08</t>
  </si>
  <si>
    <t xml:space="preserve">2026-08-31</t>
  </si>
  <si>
    <t xml:space="preserve">2026-09-09</t>
  </si>
  <si>
    <t xml:space="preserve">2026-09</t>
  </si>
  <si>
    <t xml:space="preserve">2026-09-17</t>
  </si>
  <si>
    <t xml:space="preserve">2026-09-28</t>
  </si>
  <si>
    <t xml:space="preserve">2026-10-06</t>
  </si>
  <si>
    <t xml:space="preserve">2026-10</t>
  </si>
  <si>
    <t xml:space="preserve">2026-10-16</t>
  </si>
  <si>
    <t xml:space="preserve">2026-10-29</t>
  </si>
  <si>
    <t xml:space="preserve">2026-11-03</t>
  </si>
  <si>
    <t xml:space="preserve">2026-11</t>
  </si>
  <si>
    <t xml:space="preserve">2026-12-11</t>
  </si>
  <si>
    <t xml:space="preserve">2026-12</t>
  </si>
  <si>
    <t xml:space="preserve">2026-12-24</t>
  </si>
  <si>
    <t xml:space="preserve">2026-12-28</t>
  </si>
  <si>
    <t xml:space="preserve">ID</t>
  </si>
  <si>
    <t xml:space="preserve">2027-01-15</t>
  </si>
  <si>
    <t xml:space="preserve">2027-01</t>
  </si>
  <si>
    <t xml:space="preserve">2027-01-29</t>
  </si>
  <si>
    <t xml:space="preserve">Amanda Lee</t>
  </si>
  <si>
    <t xml:space="preserve">2027-02-11</t>
  </si>
  <si>
    <t xml:space="preserve">Tyler Morris</t>
  </si>
  <si>
    <t xml:space="preserve">2027-02</t>
  </si>
  <si>
    <t xml:space="preserve">2027-03-05</t>
  </si>
  <si>
    <t xml:space="preserve">2027-03</t>
  </si>
  <si>
    <t xml:space="preserve">2027-03-18</t>
  </si>
  <si>
    <t xml:space="preserve">2027-04-02</t>
  </si>
  <si>
    <t xml:space="preserve">2027-04</t>
  </si>
  <si>
    <t xml:space="preserve">2027-05-12</t>
  </si>
  <si>
    <t xml:space="preserve">2027-05</t>
  </si>
  <si>
    <t xml:space="preserve">2027-05-27</t>
  </si>
  <si>
    <t xml:space="preserve">San Francisco</t>
  </si>
  <si>
    <t xml:space="preserve">2027-06-18</t>
  </si>
  <si>
    <t xml:space="preserve">2027-06</t>
  </si>
  <si>
    <t xml:space="preserve">2027-07-03</t>
  </si>
  <si>
    <t xml:space="preserve">2027-07</t>
  </si>
  <si>
    <t xml:space="preserve">2027-07-22</t>
  </si>
  <si>
    <t xml:space="preserve">2027-08-08</t>
  </si>
  <si>
    <t xml:space="preserve">2027-08</t>
  </si>
  <si>
    <t xml:space="preserve">2027-09-19</t>
  </si>
  <si>
    <t xml:space="preserve">2027-09</t>
  </si>
  <si>
    <t xml:space="preserve">2027-09-25</t>
  </si>
  <si>
    <t xml:space="preserve">2027-10-01</t>
  </si>
  <si>
    <t xml:space="preserve">2027-10</t>
  </si>
  <si>
    <t xml:space="preserve">🔍  Qualidade dos Dados — Relatório do Agente</t>
  </si>
  <si>
    <t xml:space="preserve">Acurácia por Campo (vs. gabarito de referência da base)</t>
  </si>
  <si>
    <t xml:space="preserve">Campo</t>
  </si>
  <si>
    <t xml:space="preserve">Acurácia</t>
  </si>
  <si>
    <t xml:space="preserve">Divergências</t>
  </si>
  <si>
    <t xml:space="preserve">Data da venda</t>
  </si>
  <si>
    <t xml:space="preserve">Ano do modelo</t>
  </si>
  <si>
    <t xml:space="preserve">Preço de venda</t>
  </si>
  <si>
    <t xml:space="preserve">Quilometragem</t>
  </si>
  <si>
    <t xml:space="preserve">Forma de pagamento</t>
  </si>
  <si>
    <t xml:space="preserve">Estado (UF)</t>
  </si>
  <si>
    <t xml:space="preserve">Status de entrega</t>
  </si>
  <si>
    <t xml:space="preserve">Nomes de cliente/vendedor (customer_name, salesperson) não têm coluna de gabarito na base original; a limpeza aplicada (Title Case + correção de hífen + reconciliação de vendedores com apenas o primeiro nome) foi validada manualmente — ver seção abaixo.</t>
  </si>
  <si>
    <t xml:space="preserve">Datas Marcadas como Inválidas (24 registros)</t>
  </si>
  <si>
    <t xml:space="preserve">Data bruta original</t>
  </si>
  <si>
    <t xml:space="preserve">Estas datas correspondem a valores impossíveis no calendário (ex.: 30 de fevereiro, mês 15, dia 40) ou a formatos ambíguos demais para interpretar com segurança. O agente optou por sinalizar como inválidas em vez de adivinhar — essas vendas permanecem no dashboard (contam para faturamento e unidades), mas ficam de fora dos gráficos que dependem de data (ex.: faturamento mensal).</t>
  </si>
  <si>
    <t xml:space="preserve">Reconciliação de Vendedores (nome incompleto → nome completo)</t>
  </si>
  <si>
    <t xml:space="preserve">Nome bruto</t>
  </si>
  <si>
    <t xml:space="preserve">Nome reconciliado</t>
  </si>
  <si>
    <t xml:space="preserve">Natalie (sem correspondência única — mantido como está)</t>
  </si>
  <si>
    <t xml:space="preserve">Quando um vendedor aparece em algumas linhas só com o primeiro nome (ex.: 'kevin') e existe exatamente UM nome completo compatível na base (ex.: 'Kevin Brown'), o agente reconcilia os dois registros como a mesma pessoa. Quando há ambiguidade ou nenhuma correspondência (ex.: 'natalie', sem nenhuma 'Natalie Sobrenome' na base), o nome é mantido como veio, para não inventar dados.</t>
  </si>
  <si>
    <t xml:space="preserve">📊  Tabelas de Apoio (calculadas a partir da aba Dados_Tratados)</t>
  </si>
  <si>
    <t xml:space="preserve">Faturamento por Ano</t>
  </si>
  <si>
    <t xml:space="preserve">Faturamento por Forma de Pagamento</t>
  </si>
  <si>
    <t xml:space="preserve">Pedidos por Status de Entrega</t>
  </si>
  <si>
    <t xml:space="preserve">Faturamento por Modelo (base)</t>
  </si>
  <si>
    <t xml:space="preserve">Faturamento por Estado (base)</t>
  </si>
  <si>
    <t xml:space="preserve">Faturamento por Vendedor (base)</t>
  </si>
  <si>
    <t xml:space="preserve">Faturamento (R$)</t>
  </si>
  <si>
    <t xml:space="preserve">Forma de Pagamento</t>
  </si>
  <si>
    <t xml:space="preserve">Status</t>
  </si>
  <si>
    <t xml:space="preserve">Pedidos</t>
  </si>
  <si>
    <t xml:space="preserve">Top 10 Estados por Faturamento</t>
  </si>
  <si>
    <t xml:space="preserve">Top 10 Modelos por Faturamento</t>
  </si>
  <si>
    <t xml:space="preserve">Top 10 Vendedores por Faturamento</t>
  </si>
  <si>
    <t xml:space="preserve">🏎️  Dashboard de Vendas — Porsche</t>
  </si>
  <si>
    <t xml:space="preserve">Painel de indicadores comerciais gerado a partir da base tratada pelo Agente de Tratamento de Dados (ver abas Dados_Tratados e Qualidade_Dados)</t>
  </si>
  <si>
    <t xml:space="preserve">FATURAMENTO TOTAL</t>
  </si>
  <si>
    <t xml:space="preserve">VEÍCULOS VENDIDOS</t>
  </si>
  <si>
    <t xml:space="preserve">TICKET MÉDIO</t>
  </si>
  <si>
    <t xml:space="preserve">KM MÉDIA RODADA</t>
  </si>
  <si>
    <t xml:space="preserve">MODELO MAIS VENDIDO (R$)</t>
  </si>
  <si>
    <t xml:space="preserve">ESTADO LÍDER (UF)</t>
  </si>
  <si>
    <t xml:space="preserve">DATAS VÁLIDAS</t>
  </si>
  <si>
    <t xml:space="preserve">Todos os indicadores e gráficos são calculados a partir da aba "Dados_Tratados" (saída do Agente de Tratamento de Dados), agregada na aba "Resumo". Os KPIs de faturamento consideram TODAS as vendas, mesmo as com data inválida; os gráficos que dependem de data/ano excluem essas vendas — ver aba Qualidade_Dados para o detalhamento. Para atualizar, gere uma nova base tratada executando agente_tratamento_dados.py sobre uma base bruta atualizada.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</si>
</sst>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R$&quot;#,##0.00"/>
    <numFmt numFmtId="166" formatCode="0.0%"/>
    <numFmt numFmtId="167" formatCode="#,##0"/>
    <numFmt numFmtId="168" formatCode="#,##0&quot; mi&quot;"/>
    <numFmt numFmtId="169" formatCode="@"/>
    <numFmt numFmtId="170" formatCode="&quot;R$&quot;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u val="single"/>
      <sz val="9.5"/>
      <color rgb="FF0563C1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8.5"/>
      <color rgb="FF80808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9.5"/>
      <color rgb="FF006100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9.5"/>
      <color rgb="FF808080"/>
      <name val="Arial"/>
      <family val="0"/>
      <charset val="1"/>
    </font>
    <font>
      <b val="true"/>
      <sz val="15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E2EFDA"/>
      </patternFill>
    </fill>
    <fill>
      <patternFill patternType="solid">
        <fgColor rgb="FFFCE4E4"/>
        <bgColor rgb="FFF2F2F2"/>
      </patternFill>
    </fill>
    <fill>
      <patternFill patternType="solid">
        <fgColor rgb="FF2E75B6"/>
        <bgColor rgb="FF4672A8"/>
      </patternFill>
    </fill>
    <fill>
      <patternFill patternType="solid">
        <fgColor rgb="FFE2EFDA"/>
        <bgColor rgb="FFF2F2F2"/>
      </patternFill>
    </fill>
    <fill>
      <patternFill patternType="solid">
        <fgColor rgb="FFED7D31"/>
        <bgColor rgb="FFDC853E"/>
      </patternFill>
    </fill>
    <fill>
      <patternFill patternType="solid">
        <fgColor rgb="FFFFFFFF"/>
        <bgColor rgb="FFF2F2F2"/>
      </patternFill>
    </fill>
    <fill>
      <patternFill patternType="solid">
        <fgColor rgb="FFBF8F00"/>
        <bgColor rgb="FFDC853E"/>
      </patternFill>
    </fill>
    <fill>
      <patternFill patternType="solid">
        <fgColor rgb="FFC00000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/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AA64F"/>
      <rgbColor rgb="FF800080"/>
      <rgbColor rgb="FF4672A8"/>
      <rgbColor rgb="FFB7B7B7"/>
      <rgbColor rgb="FF808080"/>
      <rgbColor rgb="FF93A9CE"/>
      <rgbColor rgb="FFAB4744"/>
      <rgbColor rgb="FFF2F2F2"/>
      <rgbColor rgb="FFCCFFFF"/>
      <rgbColor rgb="FF660066"/>
      <rgbColor rgb="FFDC853E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E2EFDA"/>
      <rgbColor rgb="FFFFFF99"/>
      <rgbColor rgb="FFB8CD97"/>
      <rgbColor rgb="FFD09493"/>
      <rgbColor rgb="FFCC99FF"/>
      <rgbColor rgb="FFFCE4E4"/>
      <rgbColor rgb="FF2E75B6"/>
      <rgbColor rgb="FF33CCCC"/>
      <rgbColor rgb="FF99CC00"/>
      <rgbColor rgb="FFFFCC00"/>
      <rgbColor rgb="FFBF8F00"/>
      <rgbColor rgb="FFED7D31"/>
      <rgbColor rgb="FF725990"/>
      <rgbColor rgb="FF878787"/>
      <rgbColor rgb="FF003366"/>
      <rgbColor rgb="FF4299B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por 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Resumo!B5</c:f>
              <c:strCache>
                <c:ptCount val="1"/>
                <c:pt idx="0">
                  <c:v>Faturamento (R$)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Resumo!$A$6:$A$9</c:f>
              <c:strCache>
                <c:ptCount val="4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</c:strCache>
            </c:strRef>
          </c:cat>
          <c:val>
            <c:numRef>
              <c:f>Resumo!$B$6:$B$9</c:f>
              <c:numCache>
                <c:formatCode>"R$"#,##0.00</c:formatCode>
                <c:ptCount val="4"/>
                <c:pt idx="0">
                  <c:v>1439050.5</c:v>
                </c:pt>
                <c:pt idx="1">
                  <c:v>2167500</c:v>
                </c:pt>
                <c:pt idx="2">
                  <c:v>3901150</c:v>
                </c:pt>
                <c:pt idx="3">
                  <c:v>1979000</c:v>
                </c:pt>
              </c:numCache>
            </c:numRef>
          </c:val>
        </c:ser>
        <c:gapWidth val="150"/>
        <c:overlap val="0"/>
        <c:axId val="62563631"/>
        <c:axId val="92456679"/>
      </c:barChart>
      <c:catAx>
        <c:axId val="6256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56679"/>
        <c:crosses val="autoZero"/>
        <c:auto val="1"/>
        <c:lblAlgn val="ctr"/>
        <c:lblOffset val="100"/>
        <c:noMultiLvlLbl val="0"/>
      </c:catAx>
      <c:valAx>
        <c:axId val="924566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636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por Forma de Pagamento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Resumo!F5</c:f>
              <c:strCache>
                <c:ptCount val="1"/>
                <c:pt idx="0">
                  <c:v>Faturamento (R$)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Resumo!$E$6:$E$14</c:f>
              <c:strCache>
                <c:ptCount val="9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Bank Transfer</c:v>
                </c:pt>
                <c:pt idx="4">
                  <c:v>Wire Transfer</c:v>
                </c:pt>
                <c:pt idx="5">
                  <c:v>ACH Payment</c:v>
                </c:pt>
                <c:pt idx="6">
                  <c:v>Financing</c:v>
                </c:pt>
                <c:pt idx="7">
                  <c:v>Lease</c:v>
                </c:pt>
                <c:pt idx="8">
                  <c:v>Crypto Payment</c:v>
                </c:pt>
              </c:strCache>
            </c:strRef>
          </c:cat>
          <c:val>
            <c:numRef>
              <c:f>Resumo!$F$6:$F$14</c:f>
              <c:numCache>
                <c:formatCode>"R$"#,##0.00</c:formatCode>
                <c:ptCount val="9"/>
                <c:pt idx="0">
                  <c:v>1326550</c:v>
                </c:pt>
                <c:pt idx="1">
                  <c:v>1987700</c:v>
                </c:pt>
                <c:pt idx="2">
                  <c:v>326350</c:v>
                </c:pt>
                <c:pt idx="3">
                  <c:v>900500</c:v>
                </c:pt>
                <c:pt idx="4">
                  <c:v>3979450</c:v>
                </c:pt>
                <c:pt idx="5">
                  <c:v>543000.5</c:v>
                </c:pt>
                <c:pt idx="6">
                  <c:v>1426650</c:v>
                </c:pt>
                <c:pt idx="7">
                  <c:v>1254600</c:v>
                </c:pt>
                <c:pt idx="8">
                  <c:v>1083000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Modelos por Faturamento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Resumo!N49</c:f>
              <c:strCache>
                <c:ptCount val="1"/>
                <c:pt idx="0">
                  <c:v>Faturamento (R$)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Resumo!$M$50:$M$59</c:f>
              <c:strCache>
                <c:ptCount val="10"/>
                <c:pt idx="0">
                  <c:v>911 Dakar</c:v>
                </c:pt>
                <c:pt idx="1">
                  <c:v>911 Turbo S</c:v>
                </c:pt>
                <c:pt idx="2">
                  <c:v>911 GT3</c:v>
                </c:pt>
                <c:pt idx="3">
                  <c:v>Cayenne Turbo GT</c:v>
                </c:pt>
                <c:pt idx="4">
                  <c:v>Taycan 4S</c:v>
                </c:pt>
                <c:pt idx="5">
                  <c:v>Taycan Turbo</c:v>
                </c:pt>
                <c:pt idx="6">
                  <c:v>Cayenne Coupe</c:v>
                </c:pt>
                <c:pt idx="7">
                  <c:v>Taycan Turbo S</c:v>
                </c:pt>
                <c:pt idx="8">
                  <c:v>Taycan GTS</c:v>
                </c:pt>
                <c:pt idx="9">
                  <c:v>Cayenne E-Hybrid</c:v>
                </c:pt>
              </c:strCache>
            </c:strRef>
          </c:cat>
          <c:val>
            <c:numRef>
              <c:f>Resumo!$N$50:$N$59</c:f>
              <c:numCache>
                <c:formatCode>"R$"#,##0.00</c:formatCode>
                <c:ptCount val="10"/>
                <c:pt idx="0">
                  <c:v>810600</c:v>
                </c:pt>
                <c:pt idx="1">
                  <c:v>726300</c:v>
                </c:pt>
                <c:pt idx="2">
                  <c:v>697500</c:v>
                </c:pt>
                <c:pt idx="3">
                  <c:v>592800</c:v>
                </c:pt>
                <c:pt idx="4">
                  <c:v>514300</c:v>
                </c:pt>
                <c:pt idx="5">
                  <c:v>475700.5</c:v>
                </c:pt>
                <c:pt idx="6">
                  <c:v>436250</c:v>
                </c:pt>
                <c:pt idx="7">
                  <c:v>432000</c:v>
                </c:pt>
                <c:pt idx="8">
                  <c:v>429500</c:v>
                </c:pt>
                <c:pt idx="9">
                  <c:v>373650</c:v>
                </c:pt>
              </c:numCache>
            </c:numRef>
          </c:val>
        </c:ser>
        <c:gapWidth val="150"/>
        <c:overlap val="0"/>
        <c:axId val="31656187"/>
        <c:axId val="25465752"/>
      </c:barChart>
      <c:catAx>
        <c:axId val="31656187"/>
        <c:scaling>
          <c:orientation val="maxMin"/>
        </c:scaling>
        <c:delete val="0"/>
        <c:axPos val="b"/>
        <c:numFmt formatCode="&quot;R$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65752"/>
        <c:crosses val="autoZero"/>
        <c:auto val="1"/>
        <c:lblAlgn val="ctr"/>
        <c:lblOffset val="100"/>
        <c:noMultiLvlLbl val="0"/>
      </c:catAx>
      <c:valAx>
        <c:axId val="254657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6561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Estados por Faturamento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Resumo!R42</c:f>
              <c:strCache>
                <c:ptCount val="1"/>
                <c:pt idx="0">
                  <c:v>Faturamento (R$)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Resumo!$Q$43:$Q$52</c:f>
              <c:strCache>
                <c:ptCount val="10"/>
                <c:pt idx="0">
                  <c:v>TX</c:v>
                </c:pt>
                <c:pt idx="1">
                  <c:v>CA</c:v>
                </c:pt>
                <c:pt idx="2">
                  <c:v>AZ</c:v>
                </c:pt>
                <c:pt idx="3">
                  <c:v>NV</c:v>
                </c:pt>
                <c:pt idx="4">
                  <c:v>FL</c:v>
                </c:pt>
                <c:pt idx="5">
                  <c:v>OH</c:v>
                </c:pt>
                <c:pt idx="6">
                  <c:v>NC</c:v>
                </c:pt>
                <c:pt idx="7">
                  <c:v>GA</c:v>
                </c:pt>
                <c:pt idx="8">
                  <c:v>LA</c:v>
                </c:pt>
                <c:pt idx="9">
                  <c:v>VA</c:v>
                </c:pt>
              </c:strCache>
            </c:strRef>
          </c:cat>
          <c:val>
            <c:numRef>
              <c:f>Resumo!$R$43:$R$52</c:f>
              <c:numCache>
                <c:formatCode>"R$"#,##0.00</c:formatCode>
                <c:ptCount val="10"/>
                <c:pt idx="0">
                  <c:v>2023400.5</c:v>
                </c:pt>
                <c:pt idx="1">
                  <c:v>1973350</c:v>
                </c:pt>
                <c:pt idx="2">
                  <c:v>695950</c:v>
                </c:pt>
                <c:pt idx="3">
                  <c:v>643400</c:v>
                </c:pt>
                <c:pt idx="4">
                  <c:v>566600</c:v>
                </c:pt>
                <c:pt idx="5">
                  <c:v>523850</c:v>
                </c:pt>
                <c:pt idx="6">
                  <c:v>510100</c:v>
                </c:pt>
                <c:pt idx="7">
                  <c:v>434800</c:v>
                </c:pt>
                <c:pt idx="8">
                  <c:v>361400</c:v>
                </c:pt>
                <c:pt idx="9">
                  <c:v>358700</c:v>
                </c:pt>
              </c:numCache>
            </c:numRef>
          </c:val>
        </c:ser>
        <c:gapWidth val="150"/>
        <c:overlap val="0"/>
        <c:axId val="81428254"/>
        <c:axId val="14833656"/>
      </c:barChart>
      <c:catAx>
        <c:axId val="81428254"/>
        <c:scaling>
          <c:orientation val="maxMin"/>
        </c:scaling>
        <c:delete val="0"/>
        <c:axPos val="b"/>
        <c:numFmt formatCode="&quot;R$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33656"/>
        <c:crosses val="autoZero"/>
        <c:auto val="1"/>
        <c:lblAlgn val="ctr"/>
        <c:lblOffset val="100"/>
        <c:noMultiLvlLbl val="0"/>
      </c:catAx>
      <c:valAx>
        <c:axId val="14833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42825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Vendedores por Faturamento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Resumo!Z76</c:f>
              <c:strCache>
                <c:ptCount val="1"/>
                <c:pt idx="0">
                  <c:v>Faturamento (R$)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Resumo!$Y$77:$Y$86</c:f>
              <c:strCache>
                <c:ptCount val="10"/>
                <c:pt idx="0">
                  <c:v>Peter Lane</c:v>
                </c:pt>
                <c:pt idx="1">
                  <c:v>Karen Diaz</c:v>
                </c:pt>
                <c:pt idx="2">
                  <c:v>Monica Green</c:v>
                </c:pt>
                <c:pt idx="3">
                  <c:v>Rachel Turner</c:v>
                </c:pt>
                <c:pt idx="4">
                  <c:v>Steve Ross</c:v>
                </c:pt>
                <c:pt idx="5">
                  <c:v>Diana Long</c:v>
                </c:pt>
                <c:pt idx="6">
                  <c:v>Peter Ford</c:v>
                </c:pt>
                <c:pt idx="7">
                  <c:v>Steve Gray</c:v>
                </c:pt>
                <c:pt idx="8">
                  <c:v>Megan Reed</c:v>
                </c:pt>
                <c:pt idx="9">
                  <c:v>Patrick Wood</c:v>
                </c:pt>
              </c:strCache>
            </c:strRef>
          </c:cat>
          <c:val>
            <c:numRef>
              <c:f>Resumo!$Z$77:$Z$86</c:f>
              <c:numCache>
                <c:formatCode>"R$"#,##0.00</c:formatCode>
                <c:ptCount val="10"/>
                <c:pt idx="0">
                  <c:v>519000</c:v>
                </c:pt>
                <c:pt idx="1">
                  <c:v>494000</c:v>
                </c:pt>
                <c:pt idx="2">
                  <c:v>447600</c:v>
                </c:pt>
                <c:pt idx="3">
                  <c:v>369800</c:v>
                </c:pt>
                <c:pt idx="4">
                  <c:v>361400</c:v>
                </c:pt>
                <c:pt idx="5">
                  <c:v>351600</c:v>
                </c:pt>
                <c:pt idx="6">
                  <c:v>337800</c:v>
                </c:pt>
                <c:pt idx="7">
                  <c:v>315250</c:v>
                </c:pt>
                <c:pt idx="8">
                  <c:v>307000</c:v>
                </c:pt>
                <c:pt idx="9">
                  <c:v>301700</c:v>
                </c:pt>
              </c:numCache>
            </c:numRef>
          </c:val>
        </c:ser>
        <c:gapWidth val="150"/>
        <c:overlap val="0"/>
        <c:axId val="8475800"/>
        <c:axId val="96572883"/>
      </c:barChart>
      <c:catAx>
        <c:axId val="8475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72883"/>
        <c:crosses val="autoZero"/>
        <c:auto val="1"/>
        <c:lblAlgn val="ctr"/>
        <c:lblOffset val="100"/>
        <c:noMultiLvlLbl val="0"/>
      </c:catAx>
      <c:valAx>
        <c:axId val="965728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R$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58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Pedidos por Status de Entrega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Resumo!J5</c:f>
              <c:strCache>
                <c:ptCount val="1"/>
                <c:pt idx="0">
                  <c:v>Pedidos</c:v>
                </c:pt>
              </c:strCache>
            </c:strRef>
          </c:tx>
          <c:spPr>
            <a:solidFill>
              <a:srgbClr val="bf8f00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Resumo!$I$6:$I$15</c:f>
              <c:strCache>
                <c:ptCount val="10"/>
                <c:pt idx="0">
                  <c:v>Delivered</c:v>
                </c:pt>
                <c:pt idx="1">
                  <c:v>Shipped</c:v>
                </c:pt>
                <c:pt idx="2">
                  <c:v>In Transit</c:v>
                </c:pt>
                <c:pt idx="3">
                  <c:v>Awaiting Pickup</c:v>
                </c:pt>
                <c:pt idx="4">
                  <c:v>Awaiting Delivery</c:v>
                </c:pt>
                <c:pt idx="5">
                  <c:v>Pending</c:v>
                </c:pt>
                <c:pt idx="6">
                  <c:v>Pending Approval</c:v>
                </c:pt>
                <c:pt idx="7">
                  <c:v>Pending Review</c:v>
                </c:pt>
                <c:pt idx="8">
                  <c:v>Awaiting Review</c:v>
                </c:pt>
                <c:pt idx="9">
                  <c:v>Cancelled</c:v>
                </c:pt>
              </c:strCache>
            </c:strRef>
          </c:cat>
          <c:val>
            <c:numRef>
              <c:f>Resumo!$J$6:$J$15</c:f>
              <c:numCache>
                <c:formatCode>General</c:formatCode>
                <c:ptCount val="10"/>
                <c:pt idx="0">
                  <c:v>41</c:v>
                </c:pt>
                <c:pt idx="1">
                  <c:v>4</c:v>
                </c:pt>
                <c:pt idx="2">
                  <c:v>15</c:v>
                </c:pt>
                <c:pt idx="3">
                  <c:v>4</c:v>
                </c:pt>
                <c:pt idx="4">
                  <c:v>5</c:v>
                </c:pt>
                <c:pt idx="5">
                  <c:v>17</c:v>
                </c:pt>
                <c:pt idx="6">
                  <c:v>4</c:v>
                </c:pt>
                <c:pt idx="7">
                  <c:v>2</c:v>
                </c:pt>
                <c:pt idx="8">
                  <c:v>1</c:v>
                </c:pt>
                <c:pt idx="9">
                  <c:v>7</c:v>
                </c:pt>
              </c:numCache>
            </c:numRef>
          </c:val>
        </c:ser>
        <c:gapWidth val="150"/>
        <c:overlap val="0"/>
        <c:axId val="12124244"/>
        <c:axId val="88460328"/>
      </c:barChart>
      <c:catAx>
        <c:axId val="121242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460328"/>
        <c:crosses val="autoZero"/>
        <c:auto val="1"/>
        <c:lblAlgn val="ctr"/>
        <c:lblOffset val="100"/>
        <c:noMultiLvlLbl val="0"/>
      </c:catAx>
      <c:valAx>
        <c:axId val="884603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1242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6</xdr:col>
      <xdr:colOff>747720</xdr:colOff>
      <xdr:row>27</xdr:row>
      <xdr:rowOff>1080</xdr:rowOff>
    </xdr:to>
    <xdr:graphicFrame>
      <xdr:nvGraphicFramePr>
        <xdr:cNvPr id="0" name="Chart 1"/>
        <xdr:cNvGraphicFramePr/>
      </xdr:nvGraphicFramePr>
      <xdr:xfrm>
        <a:off x="0" y="27716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10</xdr:row>
      <xdr:rowOff>0</xdr:rowOff>
    </xdr:from>
    <xdr:to>
      <xdr:col>13</xdr:col>
      <xdr:colOff>136080</xdr:colOff>
      <xdr:row>27</xdr:row>
      <xdr:rowOff>1080</xdr:rowOff>
    </xdr:to>
    <xdr:graphicFrame>
      <xdr:nvGraphicFramePr>
        <xdr:cNvPr id="1" name="Chart 2"/>
        <xdr:cNvGraphicFramePr/>
      </xdr:nvGraphicFramePr>
      <xdr:xfrm>
        <a:off x="4651920" y="27716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28</xdr:row>
      <xdr:rowOff>0</xdr:rowOff>
    </xdr:from>
    <xdr:to>
      <xdr:col>6</xdr:col>
      <xdr:colOff>747720</xdr:colOff>
      <xdr:row>45</xdr:row>
      <xdr:rowOff>181080</xdr:rowOff>
    </xdr:to>
    <xdr:graphicFrame>
      <xdr:nvGraphicFramePr>
        <xdr:cNvPr id="2" name="Chart 3"/>
        <xdr:cNvGraphicFramePr/>
      </xdr:nvGraphicFramePr>
      <xdr:xfrm>
        <a:off x="0" y="6200640"/>
        <a:ext cx="53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28</xdr:row>
      <xdr:rowOff>0</xdr:rowOff>
    </xdr:from>
    <xdr:to>
      <xdr:col>13</xdr:col>
      <xdr:colOff>136080</xdr:colOff>
      <xdr:row>45</xdr:row>
      <xdr:rowOff>181080</xdr:rowOff>
    </xdr:to>
    <xdr:graphicFrame>
      <xdr:nvGraphicFramePr>
        <xdr:cNvPr id="3" name="Chart 4"/>
        <xdr:cNvGraphicFramePr/>
      </xdr:nvGraphicFramePr>
      <xdr:xfrm>
        <a:off x="4651920" y="6200640"/>
        <a:ext cx="539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46</xdr:row>
      <xdr:rowOff>0</xdr:rowOff>
    </xdr:from>
    <xdr:to>
      <xdr:col>6</xdr:col>
      <xdr:colOff>747720</xdr:colOff>
      <xdr:row>63</xdr:row>
      <xdr:rowOff>1080</xdr:rowOff>
    </xdr:to>
    <xdr:graphicFrame>
      <xdr:nvGraphicFramePr>
        <xdr:cNvPr id="4" name="Chart 5"/>
        <xdr:cNvGraphicFramePr/>
      </xdr:nvGraphicFramePr>
      <xdr:xfrm>
        <a:off x="0" y="96296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</xdr:col>
      <xdr:colOff>0</xdr:colOff>
      <xdr:row>46</xdr:row>
      <xdr:rowOff>0</xdr:rowOff>
    </xdr:from>
    <xdr:to>
      <xdr:col>13</xdr:col>
      <xdr:colOff>136080</xdr:colOff>
      <xdr:row>63</xdr:row>
      <xdr:rowOff>1080</xdr:rowOff>
    </xdr:to>
    <xdr:graphicFrame>
      <xdr:nvGraphicFramePr>
        <xdr:cNvPr id="5" name="Chart 6"/>
        <xdr:cNvGraphicFramePr/>
      </xdr:nvGraphicFramePr>
      <xdr:xfrm>
        <a:off x="4651920" y="962964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Dashboard_Porsche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Dashboard_Porsche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Dashboard_Porsche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Dashboard_Porsche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L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6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2" min="11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  <c r="L5" s="4" t="s">
        <v>25</v>
      </c>
    </row>
    <row r="6" customFormat="false" ht="15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4" t="s">
        <v>30</v>
      </c>
      <c r="F6" s="4" t="s">
        <v>31</v>
      </c>
      <c r="G6" s="4" t="s">
        <v>32</v>
      </c>
      <c r="H6" s="4" t="s">
        <v>33</v>
      </c>
      <c r="I6" s="4" t="s">
        <v>34</v>
      </c>
      <c r="J6" s="4" t="s">
        <v>35</v>
      </c>
      <c r="K6" s="4" t="s">
        <v>36</v>
      </c>
      <c r="L6" s="4" t="s">
        <v>37</v>
      </c>
    </row>
    <row r="7" customFormat="false" ht="15" hidden="false" customHeight="false" outlineLevel="0" collapsed="false">
      <c r="A7" s="4" t="s">
        <v>38</v>
      </c>
      <c r="B7" s="4" t="s">
        <v>39</v>
      </c>
      <c r="C7" s="4" t="s">
        <v>40</v>
      </c>
      <c r="D7" s="4" t="s">
        <v>41</v>
      </c>
      <c r="E7" s="4" t="s">
        <v>42</v>
      </c>
      <c r="F7" s="4" t="s">
        <v>43</v>
      </c>
      <c r="G7" s="4" t="s">
        <v>44</v>
      </c>
      <c r="H7" s="4" t="s">
        <v>45</v>
      </c>
      <c r="I7" s="4" t="s">
        <v>46</v>
      </c>
      <c r="J7" s="4" t="s">
        <v>47</v>
      </c>
      <c r="K7" s="4" t="s">
        <v>48</v>
      </c>
      <c r="L7" s="4" t="s">
        <v>49</v>
      </c>
    </row>
    <row r="8" customFormat="false" ht="15" hidden="false" customHeight="false" outlineLevel="0" collapsed="false">
      <c r="A8" s="4" t="s">
        <v>50</v>
      </c>
      <c r="B8" s="4" t="s">
        <v>51</v>
      </c>
      <c r="C8" s="4" t="s">
        <v>52</v>
      </c>
      <c r="D8" s="4" t="s">
        <v>53</v>
      </c>
      <c r="E8" s="4" t="s">
        <v>54</v>
      </c>
      <c r="F8" s="4" t="s">
        <v>55</v>
      </c>
      <c r="G8" s="4" t="s">
        <v>56</v>
      </c>
      <c r="H8" s="4" t="s">
        <v>57</v>
      </c>
      <c r="I8" s="4" t="s">
        <v>58</v>
      </c>
      <c r="J8" s="4" t="s">
        <v>59</v>
      </c>
      <c r="K8" s="4" t="s">
        <v>60</v>
      </c>
      <c r="L8" s="4" t="s">
        <v>61</v>
      </c>
    </row>
    <row r="9" customFormat="false" ht="15" hidden="false" customHeight="false" outlineLevel="0" collapsed="false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4" t="s">
        <v>70</v>
      </c>
      <c r="J9" s="4" t="s">
        <v>71</v>
      </c>
      <c r="K9" s="4" t="s">
        <v>72</v>
      </c>
      <c r="L9" s="4" t="s">
        <v>73</v>
      </c>
    </row>
    <row r="10" customFormat="false" ht="15" hidden="false" customHeight="false" outlineLevel="0" collapsed="false">
      <c r="A10" s="4" t="s">
        <v>74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4" t="s">
        <v>80</v>
      </c>
      <c r="H10" s="4" t="s">
        <v>81</v>
      </c>
      <c r="I10" s="4" t="s">
        <v>82</v>
      </c>
      <c r="J10" s="4" t="s">
        <v>83</v>
      </c>
      <c r="K10" s="4" t="s">
        <v>84</v>
      </c>
      <c r="L10" s="4" t="s">
        <v>85</v>
      </c>
    </row>
    <row r="11" customFormat="false" ht="15" hidden="false" customHeight="false" outlineLevel="0" collapsed="false">
      <c r="A11" s="4" t="s">
        <v>86</v>
      </c>
      <c r="B11" s="4" t="s">
        <v>87</v>
      </c>
      <c r="C11" s="4" t="s">
        <v>88</v>
      </c>
      <c r="D11" s="4" t="s">
        <v>89</v>
      </c>
      <c r="E11" s="4" t="s">
        <v>90</v>
      </c>
      <c r="F11" s="4" t="s">
        <v>91</v>
      </c>
      <c r="G11" s="4" t="s">
        <v>92</v>
      </c>
      <c r="H11" s="4" t="s">
        <v>93</v>
      </c>
      <c r="I11" s="4" t="s">
        <v>94</v>
      </c>
      <c r="J11" s="4" t="s">
        <v>95</v>
      </c>
      <c r="K11" s="4" t="s">
        <v>96</v>
      </c>
      <c r="L11" s="4" t="s">
        <v>97</v>
      </c>
    </row>
    <row r="12" customFormat="false" ht="15" hidden="false" customHeight="false" outlineLevel="0" collapsed="false">
      <c r="A12" s="4" t="s">
        <v>98</v>
      </c>
      <c r="B12" s="4" t="s">
        <v>99</v>
      </c>
      <c r="C12" s="4" t="s">
        <v>100</v>
      </c>
      <c r="D12" s="4" t="s">
        <v>101</v>
      </c>
      <c r="E12" s="4" t="s">
        <v>18</v>
      </c>
      <c r="F12" s="4" t="s">
        <v>102</v>
      </c>
      <c r="G12" s="4" t="s">
        <v>103</v>
      </c>
      <c r="H12" s="4" t="s">
        <v>104</v>
      </c>
      <c r="I12" s="4" t="s">
        <v>105</v>
      </c>
      <c r="J12" s="4" t="s">
        <v>106</v>
      </c>
      <c r="K12" s="4" t="s">
        <v>107</v>
      </c>
      <c r="L12" s="4" t="s">
        <v>108</v>
      </c>
    </row>
    <row r="13" customFormat="false" ht="15" hidden="false" customHeight="false" outlineLevel="0" collapsed="false">
      <c r="A13" s="4" t="s">
        <v>109</v>
      </c>
      <c r="B13" s="4" t="s">
        <v>110</v>
      </c>
      <c r="C13" s="4" t="s">
        <v>111</v>
      </c>
      <c r="D13" s="4" t="s">
        <v>112</v>
      </c>
      <c r="E13" s="4" t="s">
        <v>113</v>
      </c>
      <c r="F13" s="4" t="s">
        <v>114</v>
      </c>
      <c r="G13" s="4" t="s">
        <v>115</v>
      </c>
      <c r="H13" s="4" t="s">
        <v>116</v>
      </c>
      <c r="I13" s="4" t="s">
        <v>117</v>
      </c>
      <c r="J13" s="4" t="s">
        <v>118</v>
      </c>
      <c r="K13" s="4" t="s">
        <v>119</v>
      </c>
      <c r="L13" s="4" t="s">
        <v>120</v>
      </c>
    </row>
    <row r="14" customFormat="false" ht="15" hidden="false" customHeight="false" outlineLevel="0" collapsed="false">
      <c r="A14" s="4" t="s">
        <v>121</v>
      </c>
      <c r="B14" s="4" t="s">
        <v>122</v>
      </c>
      <c r="C14" s="4" t="s">
        <v>123</v>
      </c>
      <c r="D14" s="4" t="s">
        <v>124</v>
      </c>
      <c r="E14" s="4" t="s">
        <v>66</v>
      </c>
      <c r="F14" s="4" t="s">
        <v>125</v>
      </c>
      <c r="G14" s="4" t="s">
        <v>126</v>
      </c>
      <c r="H14" s="4" t="s">
        <v>127</v>
      </c>
      <c r="I14" s="4" t="s">
        <v>128</v>
      </c>
      <c r="J14" s="4" t="s">
        <v>129</v>
      </c>
      <c r="K14" s="4" t="s">
        <v>130</v>
      </c>
      <c r="L14" s="4" t="s">
        <v>131</v>
      </c>
    </row>
    <row r="15" customFormat="false" ht="15" hidden="false" customHeight="false" outlineLevel="0" collapsed="false">
      <c r="A15" s="4" t="s">
        <v>132</v>
      </c>
      <c r="B15" s="4" t="s">
        <v>133</v>
      </c>
      <c r="C15" s="4" t="s">
        <v>134</v>
      </c>
      <c r="D15" s="4" t="s">
        <v>135</v>
      </c>
      <c r="E15" s="4" t="s">
        <v>42</v>
      </c>
      <c r="F15" s="4" t="s">
        <v>136</v>
      </c>
      <c r="G15" s="4" t="s">
        <v>74</v>
      </c>
      <c r="H15" s="4" t="s">
        <v>137</v>
      </c>
      <c r="I15" s="4" t="s">
        <v>138</v>
      </c>
      <c r="J15" s="4" t="s">
        <v>47</v>
      </c>
      <c r="K15" s="4" t="s">
        <v>139</v>
      </c>
      <c r="L15" s="4" t="s">
        <v>25</v>
      </c>
    </row>
    <row r="16" customFormat="false" ht="15" hidden="false" customHeight="false" outlineLevel="0" collapsed="false">
      <c r="A16" s="4" t="s">
        <v>140</v>
      </c>
      <c r="B16" s="4" t="s">
        <v>141</v>
      </c>
      <c r="C16" s="4" t="s">
        <v>142</v>
      </c>
      <c r="D16" s="4" t="s">
        <v>143</v>
      </c>
      <c r="E16" s="4" t="s">
        <v>66</v>
      </c>
      <c r="F16" s="4" t="s">
        <v>144</v>
      </c>
      <c r="G16" s="4" t="s">
        <v>145</v>
      </c>
      <c r="H16" s="4" t="s">
        <v>146</v>
      </c>
      <c r="I16" s="4" t="s">
        <v>147</v>
      </c>
      <c r="J16" s="4" t="s">
        <v>148</v>
      </c>
      <c r="K16" s="4" t="s">
        <v>149</v>
      </c>
      <c r="L16" s="4" t="s">
        <v>150</v>
      </c>
    </row>
    <row r="17" customFormat="false" ht="15" hidden="false" customHeight="false" outlineLevel="0" collapsed="false">
      <c r="A17" s="4" t="s">
        <v>151</v>
      </c>
      <c r="B17" s="4" t="s">
        <v>152</v>
      </c>
      <c r="C17" s="4" t="s">
        <v>153</v>
      </c>
      <c r="D17" s="4" t="s">
        <v>154</v>
      </c>
      <c r="E17" s="4" t="s">
        <v>18</v>
      </c>
      <c r="F17" s="4" t="s">
        <v>155</v>
      </c>
      <c r="G17" s="4" t="s">
        <v>156</v>
      </c>
      <c r="H17" s="4" t="s">
        <v>157</v>
      </c>
      <c r="I17" s="4" t="s">
        <v>158</v>
      </c>
      <c r="J17" s="4" t="s">
        <v>159</v>
      </c>
      <c r="K17" s="4" t="s">
        <v>160</v>
      </c>
      <c r="L17" s="4" t="s">
        <v>161</v>
      </c>
    </row>
    <row r="18" customFormat="false" ht="15" hidden="false" customHeight="false" outlineLevel="0" collapsed="false">
      <c r="A18" s="4" t="s">
        <v>162</v>
      </c>
      <c r="B18" s="4" t="s">
        <v>163</v>
      </c>
      <c r="C18" s="4" t="s">
        <v>164</v>
      </c>
      <c r="D18" s="4" t="s">
        <v>165</v>
      </c>
      <c r="E18" s="4" t="s">
        <v>66</v>
      </c>
      <c r="F18" s="4" t="s">
        <v>166</v>
      </c>
      <c r="G18" s="4" t="s">
        <v>167</v>
      </c>
      <c r="H18" s="4" t="s">
        <v>168</v>
      </c>
      <c r="I18" s="4" t="s">
        <v>169</v>
      </c>
      <c r="J18" s="4" t="s">
        <v>170</v>
      </c>
      <c r="K18" s="4" t="s">
        <v>171</v>
      </c>
      <c r="L18" s="4" t="s">
        <v>172</v>
      </c>
    </row>
    <row r="19" customFormat="false" ht="15" hidden="false" customHeight="false" outlineLevel="0" collapsed="false">
      <c r="A19" s="4" t="s">
        <v>173</v>
      </c>
      <c r="B19" s="4" t="s">
        <v>174</v>
      </c>
      <c r="C19" s="4" t="s">
        <v>175</v>
      </c>
      <c r="D19" s="4" t="s">
        <v>176</v>
      </c>
      <c r="E19" s="4" t="s">
        <v>42</v>
      </c>
      <c r="F19" s="4" t="s">
        <v>177</v>
      </c>
      <c r="G19" s="4" t="s">
        <v>178</v>
      </c>
      <c r="H19" s="4" t="s">
        <v>179</v>
      </c>
      <c r="I19" s="4" t="s">
        <v>180</v>
      </c>
      <c r="J19" s="4" t="s">
        <v>181</v>
      </c>
      <c r="K19" s="4" t="s">
        <v>182</v>
      </c>
      <c r="L19" s="4" t="s">
        <v>37</v>
      </c>
    </row>
    <row r="20" customFormat="false" ht="15" hidden="false" customHeight="false" outlineLevel="0" collapsed="false">
      <c r="A20" s="4" t="s">
        <v>183</v>
      </c>
      <c r="B20" s="4" t="s">
        <v>184</v>
      </c>
      <c r="C20" s="4" t="s">
        <v>185</v>
      </c>
      <c r="D20" s="4" t="s">
        <v>186</v>
      </c>
      <c r="E20" s="4" t="s">
        <v>54</v>
      </c>
      <c r="F20" s="4" t="s">
        <v>187</v>
      </c>
      <c r="G20" s="4" t="s">
        <v>188</v>
      </c>
      <c r="H20" s="4" t="s">
        <v>189</v>
      </c>
      <c r="I20" s="4" t="s">
        <v>190</v>
      </c>
      <c r="J20" s="4" t="s">
        <v>191</v>
      </c>
      <c r="K20" s="4" t="s">
        <v>192</v>
      </c>
      <c r="L20" s="4" t="s">
        <v>150</v>
      </c>
    </row>
    <row r="21" customFormat="false" ht="15" hidden="false" customHeight="false" outlineLevel="0" collapsed="false">
      <c r="A21" s="4" t="s">
        <v>193</v>
      </c>
      <c r="B21" s="4" t="s">
        <v>194</v>
      </c>
      <c r="C21" s="4" t="s">
        <v>195</v>
      </c>
      <c r="D21" s="4" t="s">
        <v>196</v>
      </c>
      <c r="E21" s="4" t="s">
        <v>66</v>
      </c>
      <c r="F21" s="4" t="s">
        <v>197</v>
      </c>
      <c r="G21" s="4" t="s">
        <v>198</v>
      </c>
      <c r="H21" s="4" t="s">
        <v>199</v>
      </c>
      <c r="I21" s="4" t="s">
        <v>200</v>
      </c>
      <c r="J21" s="4" t="s">
        <v>201</v>
      </c>
      <c r="K21" s="4" t="s">
        <v>202</v>
      </c>
      <c r="L21" s="4" t="s">
        <v>203</v>
      </c>
    </row>
    <row r="22" customFormat="false" ht="15" hidden="false" customHeight="false" outlineLevel="0" collapsed="false">
      <c r="A22" s="4" t="s">
        <v>204</v>
      </c>
      <c r="B22" s="4" t="s">
        <v>205</v>
      </c>
      <c r="C22" s="4" t="s">
        <v>206</v>
      </c>
      <c r="D22" s="4" t="s">
        <v>207</v>
      </c>
      <c r="E22" s="4" t="s">
        <v>208</v>
      </c>
      <c r="F22" s="4" t="s">
        <v>209</v>
      </c>
      <c r="G22" s="4" t="s">
        <v>210</v>
      </c>
      <c r="H22" s="4" t="s">
        <v>211</v>
      </c>
      <c r="I22" s="4" t="s">
        <v>212</v>
      </c>
      <c r="J22" s="4" t="s">
        <v>213</v>
      </c>
      <c r="K22" s="4" t="s">
        <v>214</v>
      </c>
      <c r="L22" s="4" t="s">
        <v>25</v>
      </c>
    </row>
    <row r="23" customFormat="false" ht="15" hidden="false" customHeight="false" outlineLevel="0" collapsed="false">
      <c r="A23" s="4" t="s">
        <v>215</v>
      </c>
      <c r="B23" s="4" t="s">
        <v>216</v>
      </c>
      <c r="C23" s="4" t="s">
        <v>217</v>
      </c>
      <c r="D23" s="4" t="s">
        <v>218</v>
      </c>
      <c r="E23" s="4" t="s">
        <v>18</v>
      </c>
      <c r="F23" s="4" t="s">
        <v>219</v>
      </c>
      <c r="G23" s="4" t="s">
        <v>220</v>
      </c>
      <c r="H23" s="4" t="s">
        <v>221</v>
      </c>
      <c r="I23" s="4" t="s">
        <v>222</v>
      </c>
      <c r="J23" s="4" t="s">
        <v>223</v>
      </c>
      <c r="K23" s="4" t="s">
        <v>224</v>
      </c>
      <c r="L23" s="4" t="s">
        <v>225</v>
      </c>
    </row>
    <row r="24" customFormat="false" ht="15" hidden="false" customHeight="false" outlineLevel="0" collapsed="false">
      <c r="A24" s="4" t="s">
        <v>226</v>
      </c>
      <c r="B24" s="4" t="s">
        <v>227</v>
      </c>
      <c r="C24" s="4" t="s">
        <v>228</v>
      </c>
      <c r="D24" s="4" t="s">
        <v>229</v>
      </c>
      <c r="E24" s="4" t="s">
        <v>230</v>
      </c>
      <c r="F24" s="4" t="s">
        <v>231</v>
      </c>
      <c r="G24" s="4" t="s">
        <v>232</v>
      </c>
      <c r="H24" s="4" t="s">
        <v>233</v>
      </c>
      <c r="I24" s="4" t="s">
        <v>234</v>
      </c>
      <c r="J24" s="4" t="s">
        <v>235</v>
      </c>
      <c r="K24" s="4" t="s">
        <v>236</v>
      </c>
      <c r="L24" s="4" t="s">
        <v>237</v>
      </c>
    </row>
    <row r="25" customFormat="false" ht="15" hidden="false" customHeight="false" outlineLevel="0" collapsed="false">
      <c r="A25" s="4" t="s">
        <v>238</v>
      </c>
      <c r="B25" s="4" t="s">
        <v>239</v>
      </c>
      <c r="C25" s="4" t="s">
        <v>240</v>
      </c>
      <c r="D25" s="4" t="s">
        <v>241</v>
      </c>
      <c r="E25" s="4" t="s">
        <v>90</v>
      </c>
      <c r="F25" s="4" t="s">
        <v>242</v>
      </c>
      <c r="G25" s="4" t="s">
        <v>243</v>
      </c>
      <c r="H25" s="4" t="s">
        <v>244</v>
      </c>
      <c r="I25" s="4" t="s">
        <v>245</v>
      </c>
      <c r="J25" s="4" t="s">
        <v>246</v>
      </c>
      <c r="K25" s="4" t="s">
        <v>247</v>
      </c>
      <c r="L25" s="4" t="s">
        <v>248</v>
      </c>
    </row>
    <row r="26" customFormat="false" ht="15" hidden="false" customHeight="false" outlineLevel="0" collapsed="false">
      <c r="A26" s="4" t="s">
        <v>249</v>
      </c>
      <c r="B26" s="4" t="s">
        <v>250</v>
      </c>
      <c r="C26" s="4" t="s">
        <v>251</v>
      </c>
      <c r="D26" s="4" t="s">
        <v>252</v>
      </c>
      <c r="E26" s="4" t="s">
        <v>253</v>
      </c>
      <c r="F26" s="4" t="s">
        <v>254</v>
      </c>
      <c r="G26" s="4" t="s">
        <v>255</v>
      </c>
      <c r="H26" s="4" t="s">
        <v>33</v>
      </c>
      <c r="I26" s="4" t="s">
        <v>256</v>
      </c>
      <c r="J26" s="4" t="s">
        <v>257</v>
      </c>
      <c r="K26" s="4" t="s">
        <v>258</v>
      </c>
      <c r="L26" s="4" t="s">
        <v>25</v>
      </c>
    </row>
    <row r="27" customFormat="false" ht="15" hidden="false" customHeight="false" outlineLevel="0" collapsed="false">
      <c r="A27" s="4" t="s">
        <v>56</v>
      </c>
      <c r="B27" s="4" t="s">
        <v>259</v>
      </c>
      <c r="C27" s="4" t="s">
        <v>260</v>
      </c>
      <c r="D27" s="4" t="s">
        <v>261</v>
      </c>
      <c r="E27" s="4" t="s">
        <v>66</v>
      </c>
      <c r="F27" s="4" t="s">
        <v>262</v>
      </c>
      <c r="G27" s="4" t="s">
        <v>263</v>
      </c>
      <c r="H27" s="4" t="s">
        <v>264</v>
      </c>
      <c r="I27" s="4" t="s">
        <v>265</v>
      </c>
      <c r="J27" s="4" t="s">
        <v>266</v>
      </c>
      <c r="K27" s="4" t="s">
        <v>267</v>
      </c>
      <c r="L27" s="4" t="s">
        <v>268</v>
      </c>
    </row>
    <row r="28" customFormat="false" ht="15" hidden="false" customHeight="false" outlineLevel="0" collapsed="false">
      <c r="A28" s="4" t="s">
        <v>269</v>
      </c>
      <c r="B28" s="4" t="s">
        <v>270</v>
      </c>
      <c r="C28" s="4" t="s">
        <v>271</v>
      </c>
      <c r="D28" s="4" t="s">
        <v>272</v>
      </c>
      <c r="E28" s="4" t="s">
        <v>42</v>
      </c>
      <c r="F28" s="4" t="s">
        <v>273</v>
      </c>
      <c r="G28" s="4" t="s">
        <v>274</v>
      </c>
      <c r="H28" s="4" t="s">
        <v>275</v>
      </c>
      <c r="I28" s="4" t="s">
        <v>276</v>
      </c>
      <c r="J28" s="4" t="s">
        <v>277</v>
      </c>
      <c r="K28" s="4" t="s">
        <v>278</v>
      </c>
      <c r="L28" s="4" t="s">
        <v>279</v>
      </c>
    </row>
    <row r="29" customFormat="false" ht="15" hidden="false" customHeight="false" outlineLevel="0" collapsed="false">
      <c r="A29" s="4" t="s">
        <v>280</v>
      </c>
      <c r="B29" s="4" t="s">
        <v>281</v>
      </c>
      <c r="C29" s="4" t="s">
        <v>282</v>
      </c>
      <c r="D29" s="4" t="s">
        <v>283</v>
      </c>
      <c r="E29" s="4" t="s">
        <v>54</v>
      </c>
      <c r="F29" s="4" t="s">
        <v>284</v>
      </c>
      <c r="G29" s="4" t="s">
        <v>285</v>
      </c>
      <c r="H29" s="4" t="s">
        <v>286</v>
      </c>
      <c r="I29" s="4" t="s">
        <v>287</v>
      </c>
      <c r="J29" s="4" t="s">
        <v>288</v>
      </c>
      <c r="K29" s="4" t="s">
        <v>289</v>
      </c>
      <c r="L29" s="4" t="s">
        <v>73</v>
      </c>
    </row>
    <row r="30" customFormat="false" ht="15" hidden="false" customHeight="false" outlineLevel="0" collapsed="false">
      <c r="A30" s="4" t="s">
        <v>290</v>
      </c>
      <c r="B30" s="4" t="s">
        <v>291</v>
      </c>
      <c r="C30" s="4" t="s">
        <v>292</v>
      </c>
      <c r="D30" s="4" t="s">
        <v>293</v>
      </c>
      <c r="E30" s="4" t="s">
        <v>66</v>
      </c>
      <c r="F30" s="4" t="s">
        <v>294</v>
      </c>
      <c r="G30" s="4" t="s">
        <v>295</v>
      </c>
      <c r="H30" s="4" t="s">
        <v>296</v>
      </c>
      <c r="I30" s="4" t="s">
        <v>297</v>
      </c>
      <c r="J30" s="4" t="s">
        <v>298</v>
      </c>
      <c r="K30" s="4" t="s">
        <v>299</v>
      </c>
      <c r="L30" s="4" t="s">
        <v>150</v>
      </c>
    </row>
    <row r="31" customFormat="false" ht="15" hidden="false" customHeight="false" outlineLevel="0" collapsed="false">
      <c r="A31" s="4" t="s">
        <v>300</v>
      </c>
      <c r="B31" s="4" t="s">
        <v>301</v>
      </c>
      <c r="C31" s="4" t="s">
        <v>302</v>
      </c>
      <c r="D31" s="4" t="s">
        <v>303</v>
      </c>
      <c r="E31" s="4" t="s">
        <v>304</v>
      </c>
      <c r="F31" s="4" t="s">
        <v>305</v>
      </c>
      <c r="G31" s="4" t="s">
        <v>306</v>
      </c>
      <c r="H31" s="4" t="s">
        <v>307</v>
      </c>
      <c r="I31" s="4" t="s">
        <v>308</v>
      </c>
      <c r="J31" s="4" t="s">
        <v>309</v>
      </c>
      <c r="K31" s="4" t="s">
        <v>310</v>
      </c>
      <c r="L31" s="4" t="s">
        <v>37</v>
      </c>
    </row>
    <row r="32" customFormat="false" ht="15" hidden="false" customHeight="false" outlineLevel="0" collapsed="false">
      <c r="A32" s="4" t="s">
        <v>311</v>
      </c>
      <c r="B32" s="4" t="s">
        <v>312</v>
      </c>
      <c r="C32" s="4" t="s">
        <v>313</v>
      </c>
      <c r="D32" s="4" t="s">
        <v>314</v>
      </c>
      <c r="E32" s="4" t="s">
        <v>42</v>
      </c>
      <c r="F32" s="4" t="s">
        <v>315</v>
      </c>
      <c r="G32" s="4" t="s">
        <v>316</v>
      </c>
      <c r="H32" s="4" t="s">
        <v>317</v>
      </c>
      <c r="I32" s="4" t="s">
        <v>318</v>
      </c>
      <c r="J32" s="4" t="s">
        <v>257</v>
      </c>
      <c r="K32" s="4" t="s">
        <v>319</v>
      </c>
      <c r="L32" s="4" t="s">
        <v>320</v>
      </c>
    </row>
    <row r="33" customFormat="false" ht="15" hidden="false" customHeight="false" outlineLevel="0" collapsed="false">
      <c r="A33" s="4" t="s">
        <v>321</v>
      </c>
      <c r="B33" s="4" t="s">
        <v>322</v>
      </c>
      <c r="C33" s="4" t="s">
        <v>323</v>
      </c>
      <c r="D33" s="4" t="s">
        <v>324</v>
      </c>
      <c r="E33" s="4" t="s">
        <v>18</v>
      </c>
      <c r="F33" s="4" t="s">
        <v>325</v>
      </c>
      <c r="G33" s="4" t="s">
        <v>326</v>
      </c>
      <c r="H33" s="4" t="s">
        <v>327</v>
      </c>
      <c r="I33" s="4" t="s">
        <v>328</v>
      </c>
      <c r="J33" s="4" t="s">
        <v>329</v>
      </c>
      <c r="K33" s="4" t="s">
        <v>330</v>
      </c>
      <c r="L33" s="4" t="s">
        <v>25</v>
      </c>
    </row>
    <row r="34" customFormat="false" ht="15" hidden="false" customHeight="false" outlineLevel="0" collapsed="false">
      <c r="A34" s="4" t="s">
        <v>331</v>
      </c>
      <c r="B34" s="4" t="s">
        <v>332</v>
      </c>
      <c r="C34" s="4" t="s">
        <v>333</v>
      </c>
      <c r="D34" s="4" t="s">
        <v>334</v>
      </c>
      <c r="E34" s="4" t="s">
        <v>253</v>
      </c>
      <c r="F34" s="4" t="s">
        <v>335</v>
      </c>
      <c r="G34" s="4" t="s">
        <v>336</v>
      </c>
      <c r="H34" s="4" t="s">
        <v>337</v>
      </c>
      <c r="I34" s="4" t="s">
        <v>338</v>
      </c>
      <c r="J34" s="4" t="s">
        <v>339</v>
      </c>
      <c r="K34" s="4" t="s">
        <v>340</v>
      </c>
      <c r="L34" s="4" t="s">
        <v>341</v>
      </c>
    </row>
    <row r="35" customFormat="false" ht="15" hidden="false" customHeight="false" outlineLevel="0" collapsed="false">
      <c r="A35" s="4" t="s">
        <v>342</v>
      </c>
      <c r="B35" s="4" t="s">
        <v>343</v>
      </c>
      <c r="C35" s="4" t="s">
        <v>344</v>
      </c>
      <c r="D35" s="4" t="s">
        <v>345</v>
      </c>
      <c r="E35" s="4" t="s">
        <v>66</v>
      </c>
      <c r="F35" s="4" t="s">
        <v>346</v>
      </c>
      <c r="G35" s="4" t="s">
        <v>347</v>
      </c>
      <c r="H35" s="4" t="s">
        <v>81</v>
      </c>
      <c r="I35" s="4" t="s">
        <v>348</v>
      </c>
      <c r="J35" s="4" t="s">
        <v>329</v>
      </c>
      <c r="K35" s="4" t="s">
        <v>349</v>
      </c>
      <c r="L35" s="4" t="s">
        <v>25</v>
      </c>
    </row>
    <row r="36" customFormat="false" ht="15" hidden="false" customHeight="false" outlineLevel="0" collapsed="false">
      <c r="A36" s="4" t="s">
        <v>350</v>
      </c>
      <c r="B36" s="4" t="s">
        <v>351</v>
      </c>
      <c r="C36" s="4" t="s">
        <v>352</v>
      </c>
      <c r="D36" s="4" t="s">
        <v>218</v>
      </c>
      <c r="E36" s="4" t="s">
        <v>208</v>
      </c>
      <c r="F36" s="4" t="s">
        <v>353</v>
      </c>
      <c r="G36" s="4" t="s">
        <v>354</v>
      </c>
      <c r="H36" s="4" t="s">
        <v>355</v>
      </c>
      <c r="I36" s="4" t="s">
        <v>356</v>
      </c>
      <c r="J36" s="4" t="s">
        <v>339</v>
      </c>
      <c r="K36" s="4" t="s">
        <v>357</v>
      </c>
      <c r="L36" s="4" t="s">
        <v>61</v>
      </c>
    </row>
    <row r="37" customFormat="false" ht="15" hidden="false" customHeight="false" outlineLevel="0" collapsed="false">
      <c r="A37" s="4" t="s">
        <v>358</v>
      </c>
      <c r="B37" s="4" t="s">
        <v>359</v>
      </c>
      <c r="C37" s="4" t="s">
        <v>360</v>
      </c>
      <c r="D37" s="4" t="s">
        <v>186</v>
      </c>
      <c r="E37" s="4" t="s">
        <v>18</v>
      </c>
      <c r="F37" s="4" t="s">
        <v>361</v>
      </c>
      <c r="G37" s="4" t="s">
        <v>362</v>
      </c>
      <c r="H37" s="4" t="s">
        <v>127</v>
      </c>
      <c r="I37" s="4" t="s">
        <v>363</v>
      </c>
      <c r="J37" s="4" t="s">
        <v>298</v>
      </c>
      <c r="K37" s="4" t="s">
        <v>364</v>
      </c>
      <c r="L37" s="4" t="s">
        <v>37</v>
      </c>
    </row>
    <row r="38" customFormat="false" ht="15" hidden="false" customHeight="false" outlineLevel="0" collapsed="false">
      <c r="A38" s="4" t="s">
        <v>365</v>
      </c>
      <c r="B38" s="4" t="s">
        <v>366</v>
      </c>
      <c r="C38" s="4" t="s">
        <v>367</v>
      </c>
      <c r="D38" s="4" t="s">
        <v>368</v>
      </c>
      <c r="E38" s="4" t="s">
        <v>253</v>
      </c>
      <c r="F38" s="4" t="s">
        <v>369</v>
      </c>
      <c r="G38" s="4" t="s">
        <v>68</v>
      </c>
      <c r="H38" s="4" t="s">
        <v>370</v>
      </c>
      <c r="I38" s="4" t="s">
        <v>371</v>
      </c>
      <c r="J38" s="4" t="s">
        <v>372</v>
      </c>
      <c r="K38" s="4" t="s">
        <v>373</v>
      </c>
      <c r="L38" s="4" t="s">
        <v>279</v>
      </c>
    </row>
    <row r="39" customFormat="false" ht="15" hidden="false" customHeight="false" outlineLevel="0" collapsed="false">
      <c r="A39" s="4" t="s">
        <v>374</v>
      </c>
      <c r="B39" s="4" t="s">
        <v>375</v>
      </c>
      <c r="C39" s="4" t="s">
        <v>376</v>
      </c>
      <c r="D39" s="4" t="s">
        <v>377</v>
      </c>
      <c r="E39" s="4" t="s">
        <v>378</v>
      </c>
      <c r="F39" s="4" t="s">
        <v>379</v>
      </c>
      <c r="G39" s="4" t="s">
        <v>380</v>
      </c>
      <c r="H39" s="4" t="s">
        <v>264</v>
      </c>
      <c r="I39" s="4" t="s">
        <v>381</v>
      </c>
      <c r="J39" s="4" t="s">
        <v>382</v>
      </c>
      <c r="K39" s="4" t="s">
        <v>383</v>
      </c>
      <c r="L39" s="4" t="s">
        <v>73</v>
      </c>
    </row>
    <row r="40" customFormat="false" ht="15" hidden="false" customHeight="false" outlineLevel="0" collapsed="false">
      <c r="A40" s="4" t="s">
        <v>384</v>
      </c>
      <c r="B40" s="4" t="s">
        <v>385</v>
      </c>
      <c r="C40" s="4" t="s">
        <v>386</v>
      </c>
      <c r="D40" s="4" t="s">
        <v>112</v>
      </c>
      <c r="E40" s="4" t="s">
        <v>54</v>
      </c>
      <c r="F40" s="4" t="s">
        <v>387</v>
      </c>
      <c r="G40" s="4" t="s">
        <v>388</v>
      </c>
      <c r="H40" s="4" t="s">
        <v>116</v>
      </c>
      <c r="I40" s="4" t="s">
        <v>389</v>
      </c>
      <c r="J40" s="4" t="s">
        <v>390</v>
      </c>
      <c r="K40" s="4" t="s">
        <v>391</v>
      </c>
      <c r="L40" s="4" t="s">
        <v>85</v>
      </c>
    </row>
    <row r="41" customFormat="false" ht="15" hidden="false" customHeight="false" outlineLevel="0" collapsed="false">
      <c r="A41" s="4" t="s">
        <v>392</v>
      </c>
      <c r="B41" s="4" t="s">
        <v>393</v>
      </c>
      <c r="C41" s="4" t="s">
        <v>394</v>
      </c>
      <c r="D41" s="4" t="s">
        <v>395</v>
      </c>
      <c r="E41" s="4" t="s">
        <v>30</v>
      </c>
      <c r="F41" s="4" t="s">
        <v>396</v>
      </c>
      <c r="G41" s="4" t="s">
        <v>397</v>
      </c>
      <c r="H41" s="4" t="s">
        <v>296</v>
      </c>
      <c r="I41" s="4" t="s">
        <v>398</v>
      </c>
      <c r="J41" s="4" t="s">
        <v>399</v>
      </c>
      <c r="K41" s="4" t="s">
        <v>400</v>
      </c>
      <c r="L41" s="4" t="s">
        <v>172</v>
      </c>
    </row>
    <row r="42" customFormat="false" ht="15" hidden="false" customHeight="false" outlineLevel="0" collapsed="false">
      <c r="A42" s="4" t="s">
        <v>401</v>
      </c>
      <c r="B42" s="4" t="s">
        <v>402</v>
      </c>
      <c r="C42" s="4" t="s">
        <v>403</v>
      </c>
      <c r="D42" s="4" t="s">
        <v>41</v>
      </c>
      <c r="E42" s="4" t="s">
        <v>42</v>
      </c>
      <c r="F42" s="4" t="s">
        <v>404</v>
      </c>
      <c r="G42" s="4" t="s">
        <v>405</v>
      </c>
      <c r="H42" s="4" t="s">
        <v>104</v>
      </c>
      <c r="I42" s="4" t="s">
        <v>406</v>
      </c>
      <c r="J42" s="4" t="s">
        <v>407</v>
      </c>
      <c r="K42" s="4" t="s">
        <v>408</v>
      </c>
      <c r="L42" s="4" t="s">
        <v>108</v>
      </c>
    </row>
    <row r="43" customFormat="false" ht="15" hidden="false" customHeight="false" outlineLevel="0" collapsed="false">
      <c r="A43" s="4" t="s">
        <v>409</v>
      </c>
      <c r="B43" s="4" t="s">
        <v>410</v>
      </c>
      <c r="C43" s="4" t="s">
        <v>411</v>
      </c>
      <c r="D43" s="4" t="s">
        <v>124</v>
      </c>
      <c r="E43" s="4" t="s">
        <v>66</v>
      </c>
      <c r="F43" s="4" t="s">
        <v>412</v>
      </c>
      <c r="G43" s="4" t="s">
        <v>413</v>
      </c>
      <c r="H43" s="4" t="s">
        <v>275</v>
      </c>
      <c r="I43" s="4" t="s">
        <v>414</v>
      </c>
      <c r="J43" s="4" t="s">
        <v>71</v>
      </c>
      <c r="K43" s="4" t="s">
        <v>415</v>
      </c>
      <c r="L43" s="4" t="s">
        <v>120</v>
      </c>
    </row>
    <row r="44" customFormat="false" ht="15" hidden="false" customHeight="false" outlineLevel="0" collapsed="false">
      <c r="A44" s="4" t="s">
        <v>416</v>
      </c>
      <c r="B44" s="4" t="s">
        <v>417</v>
      </c>
      <c r="C44" s="4" t="s">
        <v>418</v>
      </c>
      <c r="D44" s="4" t="s">
        <v>65</v>
      </c>
      <c r="E44" s="4" t="s">
        <v>253</v>
      </c>
      <c r="F44" s="4" t="s">
        <v>419</v>
      </c>
      <c r="G44" s="4" t="s">
        <v>255</v>
      </c>
      <c r="H44" s="4" t="s">
        <v>137</v>
      </c>
      <c r="I44" s="4" t="s">
        <v>420</v>
      </c>
      <c r="J44" s="4" t="s">
        <v>421</v>
      </c>
      <c r="K44" s="4" t="s">
        <v>422</v>
      </c>
      <c r="L44" s="4" t="s">
        <v>131</v>
      </c>
    </row>
    <row r="45" customFormat="false" ht="15" hidden="false" customHeight="false" outlineLevel="0" collapsed="false">
      <c r="A45" s="4" t="s">
        <v>423</v>
      </c>
      <c r="B45" s="4" t="s">
        <v>424</v>
      </c>
      <c r="C45" s="4" t="s">
        <v>425</v>
      </c>
      <c r="D45" s="4" t="s">
        <v>426</v>
      </c>
      <c r="E45" s="4" t="s">
        <v>18</v>
      </c>
      <c r="F45" s="4" t="s">
        <v>427</v>
      </c>
      <c r="G45" s="4" t="s">
        <v>428</v>
      </c>
      <c r="H45" s="4" t="s">
        <v>179</v>
      </c>
      <c r="I45" s="4" t="s">
        <v>429</v>
      </c>
      <c r="J45" s="4" t="s">
        <v>430</v>
      </c>
      <c r="K45" s="4" t="s">
        <v>431</v>
      </c>
      <c r="L45" s="4" t="s">
        <v>25</v>
      </c>
    </row>
    <row r="46" customFormat="false" ht="15" hidden="false" customHeight="false" outlineLevel="0" collapsed="false">
      <c r="A46" s="4" t="s">
        <v>432</v>
      </c>
      <c r="B46" s="4" t="s">
        <v>433</v>
      </c>
      <c r="C46" s="4" t="s">
        <v>434</v>
      </c>
      <c r="D46" s="4" t="s">
        <v>435</v>
      </c>
      <c r="E46" s="4" t="s">
        <v>66</v>
      </c>
      <c r="F46" s="4" t="s">
        <v>436</v>
      </c>
      <c r="G46" s="4" t="s">
        <v>437</v>
      </c>
      <c r="H46" s="4" t="s">
        <v>146</v>
      </c>
      <c r="I46" s="4" t="s">
        <v>438</v>
      </c>
      <c r="J46" s="4" t="s">
        <v>47</v>
      </c>
      <c r="K46" s="4" t="s">
        <v>439</v>
      </c>
      <c r="L46" s="4" t="s">
        <v>150</v>
      </c>
    </row>
    <row r="47" customFormat="false" ht="15" hidden="false" customHeight="false" outlineLevel="0" collapsed="false">
      <c r="A47" s="4" t="s">
        <v>440</v>
      </c>
      <c r="B47" s="4" t="s">
        <v>441</v>
      </c>
      <c r="C47" s="4" t="s">
        <v>442</v>
      </c>
      <c r="D47" s="4" t="s">
        <v>101</v>
      </c>
      <c r="E47" s="4" t="s">
        <v>42</v>
      </c>
      <c r="F47" s="4" t="s">
        <v>443</v>
      </c>
      <c r="G47" s="4" t="s">
        <v>444</v>
      </c>
      <c r="H47" s="4" t="s">
        <v>93</v>
      </c>
      <c r="I47" s="4" t="s">
        <v>445</v>
      </c>
      <c r="J47" s="4" t="s">
        <v>106</v>
      </c>
      <c r="K47" s="4" t="s">
        <v>446</v>
      </c>
      <c r="L47" s="4" t="s">
        <v>161</v>
      </c>
    </row>
    <row r="48" customFormat="false" ht="15" hidden="false" customHeight="false" outlineLevel="0" collapsed="false">
      <c r="A48" s="4" t="s">
        <v>447</v>
      </c>
      <c r="B48" s="4" t="s">
        <v>448</v>
      </c>
      <c r="C48" s="4" t="s">
        <v>449</v>
      </c>
      <c r="D48" s="4" t="s">
        <v>324</v>
      </c>
      <c r="E48" s="4" t="s">
        <v>18</v>
      </c>
      <c r="F48" s="4" t="s">
        <v>450</v>
      </c>
      <c r="G48" s="4" t="s">
        <v>451</v>
      </c>
      <c r="H48" s="4" t="s">
        <v>157</v>
      </c>
      <c r="I48" s="4" t="s">
        <v>452</v>
      </c>
      <c r="J48" s="4" t="s">
        <v>129</v>
      </c>
      <c r="K48" s="4" t="s">
        <v>453</v>
      </c>
      <c r="L48" s="4" t="s">
        <v>268</v>
      </c>
    </row>
    <row r="49" customFormat="false" ht="15" hidden="false" customHeight="false" outlineLevel="0" collapsed="false">
      <c r="A49" s="4" t="s">
        <v>454</v>
      </c>
      <c r="B49" s="4" t="s">
        <v>455</v>
      </c>
      <c r="C49" s="4" t="s">
        <v>456</v>
      </c>
      <c r="D49" s="4" t="s">
        <v>135</v>
      </c>
      <c r="E49" s="4" t="s">
        <v>457</v>
      </c>
      <c r="F49" s="4" t="s">
        <v>458</v>
      </c>
      <c r="G49" s="4" t="s">
        <v>459</v>
      </c>
      <c r="H49" s="4" t="s">
        <v>168</v>
      </c>
      <c r="I49" s="4" t="s">
        <v>460</v>
      </c>
      <c r="J49" s="4" t="s">
        <v>461</v>
      </c>
      <c r="K49" s="4" t="s">
        <v>462</v>
      </c>
      <c r="L49" s="4" t="s">
        <v>25</v>
      </c>
    </row>
    <row r="50" customFormat="false" ht="15" hidden="false" customHeight="false" outlineLevel="0" collapsed="false">
      <c r="A50" s="4" t="s">
        <v>463</v>
      </c>
      <c r="B50" s="4" t="s">
        <v>464</v>
      </c>
      <c r="C50" s="4" t="s">
        <v>465</v>
      </c>
      <c r="D50" s="4" t="s">
        <v>17</v>
      </c>
      <c r="E50" s="4" t="s">
        <v>54</v>
      </c>
      <c r="F50" s="4" t="s">
        <v>466</v>
      </c>
      <c r="G50" s="4" t="s">
        <v>467</v>
      </c>
      <c r="H50" s="4" t="s">
        <v>189</v>
      </c>
      <c r="I50" s="4" t="s">
        <v>468</v>
      </c>
      <c r="J50" s="4" t="s">
        <v>71</v>
      </c>
      <c r="K50" s="4" t="s">
        <v>469</v>
      </c>
      <c r="L50" s="4" t="s">
        <v>150</v>
      </c>
    </row>
    <row r="51" customFormat="false" ht="15" hidden="false" customHeight="false" outlineLevel="0" collapsed="false">
      <c r="A51" s="4" t="s">
        <v>470</v>
      </c>
      <c r="B51" s="4" t="s">
        <v>471</v>
      </c>
      <c r="C51" s="4" t="s">
        <v>472</v>
      </c>
      <c r="D51" s="4" t="s">
        <v>473</v>
      </c>
      <c r="E51" s="4" t="s">
        <v>66</v>
      </c>
      <c r="F51" s="4" t="s">
        <v>474</v>
      </c>
      <c r="G51" s="4" t="s">
        <v>475</v>
      </c>
      <c r="H51" s="4" t="s">
        <v>199</v>
      </c>
      <c r="I51" s="4" t="s">
        <v>476</v>
      </c>
      <c r="J51" s="4" t="s">
        <v>339</v>
      </c>
      <c r="K51" s="4" t="s">
        <v>477</v>
      </c>
      <c r="L51" s="4" t="s">
        <v>203</v>
      </c>
    </row>
    <row r="52" customFormat="false" ht="15" hidden="false" customHeight="false" outlineLevel="0" collapsed="false">
      <c r="A52" s="4" t="s">
        <v>478</v>
      </c>
      <c r="B52" s="4" t="s">
        <v>479</v>
      </c>
      <c r="C52" s="4" t="s">
        <v>480</v>
      </c>
      <c r="D52" s="4" t="s">
        <v>241</v>
      </c>
      <c r="E52" s="4" t="s">
        <v>90</v>
      </c>
      <c r="F52" s="4" t="s">
        <v>481</v>
      </c>
      <c r="G52" s="4" t="s">
        <v>482</v>
      </c>
      <c r="H52" s="4" t="s">
        <v>211</v>
      </c>
      <c r="I52" s="4" t="s">
        <v>483</v>
      </c>
      <c r="J52" s="4" t="s">
        <v>484</v>
      </c>
      <c r="K52" s="4" t="s">
        <v>485</v>
      </c>
      <c r="L52" s="4" t="s">
        <v>25</v>
      </c>
    </row>
    <row r="53" customFormat="false" ht="15" hidden="false" customHeight="false" outlineLevel="0" collapsed="false">
      <c r="A53" s="4" t="s">
        <v>486</v>
      </c>
      <c r="B53" s="4" t="s">
        <v>487</v>
      </c>
      <c r="C53" s="4" t="s">
        <v>488</v>
      </c>
      <c r="D53" s="4" t="s">
        <v>489</v>
      </c>
      <c r="E53" s="4" t="s">
        <v>490</v>
      </c>
      <c r="F53" s="4" t="s">
        <v>491</v>
      </c>
      <c r="G53" s="4" t="s">
        <v>492</v>
      </c>
      <c r="H53" s="4" t="s">
        <v>221</v>
      </c>
      <c r="I53" s="4" t="s">
        <v>493</v>
      </c>
      <c r="J53" s="4" t="s">
        <v>494</v>
      </c>
      <c r="K53" s="4" t="s">
        <v>495</v>
      </c>
      <c r="L53" s="4" t="s">
        <v>225</v>
      </c>
    </row>
    <row r="54" customFormat="false" ht="15" hidden="false" customHeight="false" outlineLevel="0" collapsed="false">
      <c r="A54" s="4" t="s">
        <v>496</v>
      </c>
      <c r="B54" s="4" t="s">
        <v>497</v>
      </c>
      <c r="C54" s="4" t="s">
        <v>498</v>
      </c>
      <c r="D54" s="4" t="s">
        <v>252</v>
      </c>
      <c r="E54" s="4" t="s">
        <v>253</v>
      </c>
      <c r="F54" s="4" t="s">
        <v>499</v>
      </c>
      <c r="G54" s="4" t="s">
        <v>336</v>
      </c>
      <c r="H54" s="4" t="s">
        <v>233</v>
      </c>
      <c r="I54" s="4" t="s">
        <v>500</v>
      </c>
      <c r="J54" s="4" t="s">
        <v>501</v>
      </c>
      <c r="K54" s="4" t="s">
        <v>502</v>
      </c>
      <c r="L54" s="4" t="s">
        <v>237</v>
      </c>
    </row>
    <row r="55" customFormat="false" ht="15" hidden="false" customHeight="false" outlineLevel="0" collapsed="false">
      <c r="A55" s="4" t="s">
        <v>503</v>
      </c>
      <c r="B55" s="4" t="s">
        <v>504</v>
      </c>
      <c r="C55" s="4" t="s">
        <v>505</v>
      </c>
      <c r="D55" s="4" t="s">
        <v>89</v>
      </c>
      <c r="E55" s="4" t="s">
        <v>304</v>
      </c>
      <c r="F55" s="4" t="s">
        <v>506</v>
      </c>
      <c r="G55" s="4" t="s">
        <v>507</v>
      </c>
      <c r="H55" s="4" t="s">
        <v>244</v>
      </c>
      <c r="I55" s="4" t="s">
        <v>508</v>
      </c>
      <c r="J55" s="4" t="s">
        <v>509</v>
      </c>
      <c r="K55" s="4" t="s">
        <v>510</v>
      </c>
      <c r="L55" s="4" t="s">
        <v>248</v>
      </c>
    </row>
    <row r="56" customFormat="false" ht="15" hidden="false" customHeight="false" outlineLevel="0" collapsed="false">
      <c r="A56" s="4" t="s">
        <v>511</v>
      </c>
      <c r="B56" s="4" t="s">
        <v>512</v>
      </c>
      <c r="C56" s="4" t="s">
        <v>513</v>
      </c>
      <c r="D56" s="4" t="s">
        <v>272</v>
      </c>
      <c r="E56" s="4" t="s">
        <v>66</v>
      </c>
      <c r="F56" s="4" t="s">
        <v>514</v>
      </c>
      <c r="G56" s="4" t="s">
        <v>515</v>
      </c>
      <c r="H56" s="4" t="s">
        <v>33</v>
      </c>
      <c r="I56" s="4" t="s">
        <v>516</v>
      </c>
      <c r="J56" s="4" t="s">
        <v>71</v>
      </c>
      <c r="K56" s="4" t="s">
        <v>258</v>
      </c>
      <c r="L56" s="4" t="s">
        <v>25</v>
      </c>
    </row>
    <row r="57" customFormat="false" ht="15" hidden="false" customHeight="false" outlineLevel="0" collapsed="false">
      <c r="A57" s="4" t="s">
        <v>517</v>
      </c>
      <c r="B57" s="4" t="s">
        <v>518</v>
      </c>
      <c r="C57" s="4" t="s">
        <v>519</v>
      </c>
      <c r="D57" s="4" t="s">
        <v>283</v>
      </c>
      <c r="E57" s="4" t="s">
        <v>54</v>
      </c>
      <c r="F57" s="4" t="s">
        <v>520</v>
      </c>
      <c r="G57" s="4" t="s">
        <v>521</v>
      </c>
      <c r="H57" s="4" t="s">
        <v>57</v>
      </c>
      <c r="I57" s="4" t="s">
        <v>522</v>
      </c>
      <c r="J57" s="4" t="s">
        <v>523</v>
      </c>
      <c r="K57" s="4" t="s">
        <v>524</v>
      </c>
      <c r="L57" s="4" t="s">
        <v>525</v>
      </c>
    </row>
    <row r="58" customFormat="false" ht="15" hidden="false" customHeight="false" outlineLevel="0" collapsed="false">
      <c r="A58" s="4" t="s">
        <v>526</v>
      </c>
      <c r="B58" s="4" t="s">
        <v>527</v>
      </c>
      <c r="C58" s="4" t="s">
        <v>528</v>
      </c>
      <c r="D58" s="4" t="s">
        <v>196</v>
      </c>
      <c r="E58" s="4" t="s">
        <v>253</v>
      </c>
      <c r="F58" s="4" t="s">
        <v>529</v>
      </c>
      <c r="G58" s="4" t="s">
        <v>530</v>
      </c>
      <c r="H58" s="4" t="s">
        <v>45</v>
      </c>
      <c r="I58" s="4" t="s">
        <v>531</v>
      </c>
      <c r="J58" s="4" t="s">
        <v>532</v>
      </c>
      <c r="K58" s="4" t="s">
        <v>533</v>
      </c>
      <c r="L58" s="4" t="s">
        <v>279</v>
      </c>
    </row>
    <row r="59" customFormat="false" ht="15" hidden="false" customHeight="false" outlineLevel="0" collapsed="false">
      <c r="A59" s="4" t="s">
        <v>534</v>
      </c>
      <c r="B59" s="4" t="s">
        <v>535</v>
      </c>
      <c r="C59" s="4" t="s">
        <v>536</v>
      </c>
      <c r="D59" s="4" t="s">
        <v>261</v>
      </c>
      <c r="E59" s="4" t="s">
        <v>66</v>
      </c>
      <c r="F59" s="4" t="s">
        <v>537</v>
      </c>
      <c r="G59" s="4" t="s">
        <v>538</v>
      </c>
      <c r="H59" s="4" t="s">
        <v>286</v>
      </c>
      <c r="I59" s="4" t="s">
        <v>539</v>
      </c>
      <c r="J59" s="4" t="s">
        <v>339</v>
      </c>
      <c r="K59" s="4" t="s">
        <v>540</v>
      </c>
      <c r="L59" s="4" t="s">
        <v>73</v>
      </c>
    </row>
    <row r="60" customFormat="false" ht="15" hidden="false" customHeight="false" outlineLevel="0" collapsed="false">
      <c r="A60" s="4" t="s">
        <v>541</v>
      </c>
      <c r="B60" s="4" t="s">
        <v>542</v>
      </c>
      <c r="C60" s="4" t="s">
        <v>543</v>
      </c>
      <c r="D60" s="4" t="s">
        <v>77</v>
      </c>
      <c r="E60" s="4" t="s">
        <v>42</v>
      </c>
      <c r="F60" s="4" t="s">
        <v>544</v>
      </c>
      <c r="G60" s="4" t="s">
        <v>545</v>
      </c>
      <c r="H60" s="4" t="s">
        <v>296</v>
      </c>
      <c r="I60" s="4" t="s">
        <v>546</v>
      </c>
      <c r="J60" s="4" t="s">
        <v>257</v>
      </c>
      <c r="K60" s="4" t="s">
        <v>547</v>
      </c>
      <c r="L60" s="4" t="s">
        <v>150</v>
      </c>
    </row>
    <row r="61" customFormat="false" ht="15" hidden="false" customHeight="false" outlineLevel="0" collapsed="false">
      <c r="A61" s="4" t="s">
        <v>548</v>
      </c>
      <c r="B61" s="4" t="s">
        <v>549</v>
      </c>
      <c r="C61" s="4" t="s">
        <v>550</v>
      </c>
      <c r="D61" s="4" t="s">
        <v>53</v>
      </c>
      <c r="E61" s="4" t="s">
        <v>551</v>
      </c>
      <c r="F61" s="4" t="s">
        <v>552</v>
      </c>
      <c r="G61" s="4" t="s">
        <v>553</v>
      </c>
      <c r="H61" s="4" t="s">
        <v>307</v>
      </c>
      <c r="I61" s="4" t="s">
        <v>554</v>
      </c>
      <c r="J61" s="4" t="s">
        <v>555</v>
      </c>
      <c r="K61" s="4" t="s">
        <v>556</v>
      </c>
      <c r="L61" s="4" t="s">
        <v>37</v>
      </c>
    </row>
    <row r="62" customFormat="false" ht="15" hidden="false" customHeight="false" outlineLevel="0" collapsed="false">
      <c r="A62" s="4" t="s">
        <v>557</v>
      </c>
      <c r="B62" s="4" t="s">
        <v>558</v>
      </c>
      <c r="C62" s="4" t="s">
        <v>559</v>
      </c>
      <c r="D62" s="4" t="s">
        <v>207</v>
      </c>
      <c r="E62" s="4" t="s">
        <v>66</v>
      </c>
      <c r="F62" s="4" t="s">
        <v>560</v>
      </c>
      <c r="G62" s="4" t="s">
        <v>561</v>
      </c>
      <c r="H62" s="4" t="s">
        <v>317</v>
      </c>
      <c r="I62" s="4" t="s">
        <v>562</v>
      </c>
      <c r="J62" s="4" t="s">
        <v>563</v>
      </c>
      <c r="K62" s="4" t="s">
        <v>564</v>
      </c>
      <c r="L62" s="4" t="s">
        <v>320</v>
      </c>
    </row>
    <row r="63" customFormat="false" ht="15" hidden="false" customHeight="false" outlineLevel="0" collapsed="false">
      <c r="A63" s="4" t="s">
        <v>565</v>
      </c>
      <c r="B63" s="4" t="s">
        <v>566</v>
      </c>
      <c r="C63" s="4" t="s">
        <v>567</v>
      </c>
      <c r="D63" s="4" t="s">
        <v>165</v>
      </c>
      <c r="E63" s="4" t="s">
        <v>253</v>
      </c>
      <c r="F63" s="4" t="s">
        <v>568</v>
      </c>
      <c r="G63" s="4" t="s">
        <v>569</v>
      </c>
      <c r="H63" s="4" t="s">
        <v>327</v>
      </c>
      <c r="I63" s="4" t="s">
        <v>570</v>
      </c>
      <c r="J63" s="4" t="s">
        <v>298</v>
      </c>
      <c r="K63" s="4" t="s">
        <v>571</v>
      </c>
      <c r="L63" s="4" t="s">
        <v>25</v>
      </c>
    </row>
    <row r="64" customFormat="false" ht="15" hidden="false" customHeight="false" outlineLevel="0" collapsed="false">
      <c r="A64" s="4" t="s">
        <v>572</v>
      </c>
      <c r="B64" s="4" t="s">
        <v>573</v>
      </c>
      <c r="C64" s="4" t="s">
        <v>574</v>
      </c>
      <c r="D64" s="4" t="s">
        <v>176</v>
      </c>
      <c r="E64" s="4" t="s">
        <v>42</v>
      </c>
      <c r="F64" s="4" t="s">
        <v>575</v>
      </c>
      <c r="G64" s="4" t="s">
        <v>576</v>
      </c>
      <c r="H64" s="4" t="s">
        <v>337</v>
      </c>
      <c r="I64" s="4" t="s">
        <v>577</v>
      </c>
      <c r="J64" s="4" t="s">
        <v>578</v>
      </c>
      <c r="K64" s="4" t="s">
        <v>579</v>
      </c>
      <c r="L64" s="4" t="s">
        <v>341</v>
      </c>
    </row>
    <row r="65" customFormat="false" ht="15" hidden="false" customHeight="false" outlineLevel="0" collapsed="false">
      <c r="A65" s="4" t="s">
        <v>580</v>
      </c>
      <c r="B65" s="4" t="s">
        <v>581</v>
      </c>
      <c r="C65" s="4" t="s">
        <v>582</v>
      </c>
      <c r="D65" s="4" t="s">
        <v>293</v>
      </c>
      <c r="E65" s="4" t="s">
        <v>66</v>
      </c>
      <c r="F65" s="4" t="s">
        <v>583</v>
      </c>
      <c r="G65" s="4" t="s">
        <v>584</v>
      </c>
      <c r="H65" s="4" t="s">
        <v>21</v>
      </c>
      <c r="I65" s="4" t="s">
        <v>585</v>
      </c>
      <c r="J65" s="4" t="s">
        <v>257</v>
      </c>
      <c r="K65" s="4" t="s">
        <v>586</v>
      </c>
      <c r="L65" s="4" t="s">
        <v>25</v>
      </c>
    </row>
    <row r="66" customFormat="false" ht="15" hidden="false" customHeight="false" outlineLevel="0" collapsed="false">
      <c r="A66" s="4" t="s">
        <v>587</v>
      </c>
      <c r="B66" s="4" t="s">
        <v>588</v>
      </c>
      <c r="C66" s="4" t="s">
        <v>589</v>
      </c>
      <c r="D66" s="4" t="s">
        <v>314</v>
      </c>
      <c r="E66" s="4" t="s">
        <v>18</v>
      </c>
      <c r="F66" s="4" t="s">
        <v>590</v>
      </c>
      <c r="G66" s="4" t="s">
        <v>591</v>
      </c>
      <c r="H66" s="4" t="s">
        <v>69</v>
      </c>
      <c r="I66" s="4" t="s">
        <v>592</v>
      </c>
      <c r="J66" s="4" t="s">
        <v>593</v>
      </c>
      <c r="K66" s="4" t="s">
        <v>594</v>
      </c>
      <c r="L66" s="4" t="s">
        <v>85</v>
      </c>
    </row>
    <row r="67" customFormat="false" ht="15" hidden="false" customHeight="false" outlineLevel="0" collapsed="false">
      <c r="A67" s="4" t="s">
        <v>595</v>
      </c>
      <c r="B67" s="4" t="s">
        <v>596</v>
      </c>
      <c r="C67" s="4" t="s">
        <v>597</v>
      </c>
      <c r="D67" s="4" t="s">
        <v>186</v>
      </c>
      <c r="E67" s="4" t="s">
        <v>54</v>
      </c>
      <c r="F67" s="4" t="s">
        <v>598</v>
      </c>
      <c r="G67" s="4" t="s">
        <v>599</v>
      </c>
      <c r="H67" s="4" t="s">
        <v>127</v>
      </c>
      <c r="I67" s="4" t="s">
        <v>600</v>
      </c>
      <c r="J67" s="4" t="s">
        <v>601</v>
      </c>
      <c r="K67" s="4" t="s">
        <v>602</v>
      </c>
      <c r="L67" s="4" t="s">
        <v>172</v>
      </c>
    </row>
    <row r="68" customFormat="false" ht="15" hidden="false" customHeight="false" outlineLevel="0" collapsed="false">
      <c r="A68" s="4" t="s">
        <v>603</v>
      </c>
      <c r="B68" s="4" t="s">
        <v>604</v>
      </c>
      <c r="C68" s="4" t="s">
        <v>605</v>
      </c>
      <c r="D68" s="4" t="s">
        <v>334</v>
      </c>
      <c r="E68" s="4" t="s">
        <v>253</v>
      </c>
      <c r="F68" s="4" t="s">
        <v>606</v>
      </c>
      <c r="G68" s="4" t="s">
        <v>607</v>
      </c>
      <c r="H68" s="4" t="s">
        <v>33</v>
      </c>
      <c r="I68" s="4" t="s">
        <v>608</v>
      </c>
      <c r="J68" s="4" t="s">
        <v>609</v>
      </c>
      <c r="K68" s="4" t="s">
        <v>610</v>
      </c>
      <c r="L68" s="4" t="s">
        <v>61</v>
      </c>
    </row>
    <row r="69" customFormat="false" ht="15" hidden="false" customHeight="false" outlineLevel="0" collapsed="false">
      <c r="A69" s="4" t="s">
        <v>611</v>
      </c>
      <c r="B69" s="4" t="s">
        <v>612</v>
      </c>
      <c r="C69" s="4" t="s">
        <v>613</v>
      </c>
      <c r="D69" s="4" t="s">
        <v>218</v>
      </c>
      <c r="E69" s="4" t="s">
        <v>66</v>
      </c>
      <c r="F69" s="4" t="s">
        <v>614</v>
      </c>
      <c r="G69" s="4" t="s">
        <v>615</v>
      </c>
      <c r="H69" s="4" t="s">
        <v>116</v>
      </c>
      <c r="I69" s="4" t="s">
        <v>616</v>
      </c>
      <c r="J69" s="4" t="s">
        <v>617</v>
      </c>
      <c r="K69" s="4" t="s">
        <v>618</v>
      </c>
      <c r="L69" s="4" t="s">
        <v>73</v>
      </c>
    </row>
    <row r="70" customFormat="false" ht="15" hidden="false" customHeight="false" outlineLevel="0" collapsed="false">
      <c r="A70" s="4" t="s">
        <v>619</v>
      </c>
      <c r="B70" s="4" t="s">
        <v>518</v>
      </c>
      <c r="C70" s="4" t="s">
        <v>620</v>
      </c>
      <c r="D70" s="4" t="s">
        <v>303</v>
      </c>
      <c r="E70" s="4" t="s">
        <v>30</v>
      </c>
      <c r="F70" s="4" t="s">
        <v>621</v>
      </c>
      <c r="G70" s="4" t="s">
        <v>622</v>
      </c>
      <c r="H70" s="4" t="s">
        <v>179</v>
      </c>
      <c r="I70" s="4" t="s">
        <v>623</v>
      </c>
      <c r="J70" s="4" t="s">
        <v>624</v>
      </c>
      <c r="K70" s="4" t="s">
        <v>625</v>
      </c>
      <c r="L70" s="4" t="s">
        <v>97</v>
      </c>
    </row>
    <row r="71" customFormat="false" ht="15" hidden="false" customHeight="false" outlineLevel="0" collapsed="false">
      <c r="A71" s="4" t="s">
        <v>626</v>
      </c>
      <c r="B71" s="4" t="s">
        <v>627</v>
      </c>
      <c r="C71" s="4" t="s">
        <v>628</v>
      </c>
      <c r="D71" s="4" t="s">
        <v>629</v>
      </c>
      <c r="E71" s="4" t="s">
        <v>42</v>
      </c>
      <c r="F71" s="4" t="s">
        <v>630</v>
      </c>
      <c r="G71" s="4" t="s">
        <v>631</v>
      </c>
      <c r="H71" s="4" t="s">
        <v>93</v>
      </c>
      <c r="I71" s="4" t="s">
        <v>632</v>
      </c>
      <c r="J71" s="4" t="s">
        <v>148</v>
      </c>
      <c r="K71" s="4" t="s">
        <v>633</v>
      </c>
      <c r="L71" s="4" t="s">
        <v>120</v>
      </c>
    </row>
    <row r="72" customFormat="false" ht="15" hidden="false" customHeight="false" outlineLevel="0" collapsed="false">
      <c r="A72" s="4" t="s">
        <v>634</v>
      </c>
      <c r="B72" s="4" t="s">
        <v>635</v>
      </c>
      <c r="C72" s="4" t="s">
        <v>636</v>
      </c>
      <c r="D72" s="4" t="s">
        <v>154</v>
      </c>
      <c r="E72" s="4" t="s">
        <v>18</v>
      </c>
      <c r="F72" s="4" t="s">
        <v>637</v>
      </c>
      <c r="G72" s="4" t="s">
        <v>638</v>
      </c>
      <c r="H72" s="4" t="s">
        <v>211</v>
      </c>
      <c r="I72" s="4" t="s">
        <v>639</v>
      </c>
      <c r="J72" s="4" t="s">
        <v>95</v>
      </c>
      <c r="K72" s="4" t="s">
        <v>139</v>
      </c>
      <c r="L72" s="4" t="s">
        <v>49</v>
      </c>
    </row>
    <row r="73" customFormat="false" ht="15" hidden="false" customHeight="false" outlineLevel="0" collapsed="false">
      <c r="A73" s="4" t="s">
        <v>640</v>
      </c>
      <c r="B73" s="4" t="s">
        <v>641</v>
      </c>
      <c r="C73" s="4" t="s">
        <v>642</v>
      </c>
      <c r="D73" s="4" t="s">
        <v>124</v>
      </c>
      <c r="E73" s="4" t="s">
        <v>66</v>
      </c>
      <c r="F73" s="4" t="s">
        <v>643</v>
      </c>
      <c r="G73" s="4" t="s">
        <v>644</v>
      </c>
      <c r="H73" s="4" t="s">
        <v>137</v>
      </c>
      <c r="I73" s="4" t="s">
        <v>645</v>
      </c>
      <c r="J73" s="4" t="s">
        <v>213</v>
      </c>
      <c r="K73" s="4" t="s">
        <v>646</v>
      </c>
      <c r="L73" s="4" t="s">
        <v>25</v>
      </c>
    </row>
    <row r="74" customFormat="false" ht="15" hidden="false" customHeight="false" outlineLevel="0" collapsed="false">
      <c r="A74" s="4" t="s">
        <v>647</v>
      </c>
      <c r="B74" s="4" t="s">
        <v>648</v>
      </c>
      <c r="C74" s="4" t="s">
        <v>649</v>
      </c>
      <c r="D74" s="4" t="s">
        <v>65</v>
      </c>
      <c r="E74" s="4" t="s">
        <v>650</v>
      </c>
      <c r="F74" s="4" t="s">
        <v>651</v>
      </c>
      <c r="G74" s="4" t="s">
        <v>652</v>
      </c>
      <c r="H74" s="4" t="s">
        <v>104</v>
      </c>
      <c r="I74" s="4" t="s">
        <v>653</v>
      </c>
      <c r="J74" s="4" t="s">
        <v>170</v>
      </c>
      <c r="K74" s="4" t="s">
        <v>160</v>
      </c>
      <c r="L74" s="4" t="s">
        <v>108</v>
      </c>
    </row>
    <row r="75" customFormat="false" ht="15" hidden="false" customHeight="false" outlineLevel="0" collapsed="false">
      <c r="A75" s="4" t="s">
        <v>654</v>
      </c>
      <c r="B75" s="4" t="s">
        <v>655</v>
      </c>
      <c r="C75" s="4" t="s">
        <v>656</v>
      </c>
      <c r="D75" s="4" t="s">
        <v>101</v>
      </c>
      <c r="E75" s="4" t="s">
        <v>42</v>
      </c>
      <c r="F75" s="4" t="s">
        <v>657</v>
      </c>
      <c r="G75" s="4" t="s">
        <v>658</v>
      </c>
      <c r="H75" s="4" t="s">
        <v>264</v>
      </c>
      <c r="I75" s="4" t="s">
        <v>659</v>
      </c>
      <c r="J75" s="4" t="s">
        <v>372</v>
      </c>
      <c r="K75" s="4" t="s">
        <v>171</v>
      </c>
      <c r="L75" s="4" t="s">
        <v>161</v>
      </c>
    </row>
    <row r="76" customFormat="false" ht="15" hidden="false" customHeight="false" outlineLevel="0" collapsed="false">
      <c r="A76" s="4" t="s">
        <v>660</v>
      </c>
      <c r="B76" s="4" t="s">
        <v>661</v>
      </c>
      <c r="C76" s="4" t="s">
        <v>662</v>
      </c>
      <c r="D76" s="4" t="s">
        <v>29</v>
      </c>
      <c r="E76" s="4" t="s">
        <v>253</v>
      </c>
      <c r="F76" s="4" t="s">
        <v>663</v>
      </c>
      <c r="G76" s="4" t="s">
        <v>664</v>
      </c>
      <c r="H76" s="4" t="s">
        <v>665</v>
      </c>
      <c r="I76" s="4" t="s">
        <v>666</v>
      </c>
      <c r="J76" s="4" t="s">
        <v>257</v>
      </c>
      <c r="K76" s="4" t="s">
        <v>667</v>
      </c>
      <c r="L76" s="4" t="s">
        <v>268</v>
      </c>
    </row>
    <row r="77" customFormat="false" ht="15" hidden="false" customHeight="false" outlineLevel="0" collapsed="false">
      <c r="A77" s="4" t="s">
        <v>668</v>
      </c>
      <c r="B77" s="4" t="s">
        <v>669</v>
      </c>
      <c r="C77" s="4" t="s">
        <v>670</v>
      </c>
      <c r="D77" s="4" t="s">
        <v>671</v>
      </c>
      <c r="E77" s="4" t="s">
        <v>18</v>
      </c>
      <c r="F77" s="4" t="s">
        <v>672</v>
      </c>
      <c r="G77" s="4" t="s">
        <v>673</v>
      </c>
      <c r="H77" s="4" t="s">
        <v>221</v>
      </c>
      <c r="I77" s="4" t="s">
        <v>674</v>
      </c>
      <c r="J77" s="4" t="s">
        <v>675</v>
      </c>
      <c r="K77" s="4" t="s">
        <v>192</v>
      </c>
      <c r="L77" s="4" t="s">
        <v>248</v>
      </c>
    </row>
    <row r="78" customFormat="false" ht="15" hidden="false" customHeight="false" outlineLevel="0" collapsed="false">
      <c r="A78" s="4" t="s">
        <v>676</v>
      </c>
      <c r="B78" s="4" t="s">
        <v>677</v>
      </c>
      <c r="C78" s="4" t="s">
        <v>678</v>
      </c>
      <c r="D78" s="4" t="s">
        <v>252</v>
      </c>
      <c r="E78" s="4" t="s">
        <v>679</v>
      </c>
      <c r="F78" s="4" t="s">
        <v>680</v>
      </c>
      <c r="G78" s="4" t="s">
        <v>681</v>
      </c>
      <c r="H78" s="4" t="s">
        <v>296</v>
      </c>
      <c r="I78" s="4" t="s">
        <v>682</v>
      </c>
      <c r="J78" s="4" t="s">
        <v>106</v>
      </c>
      <c r="K78" s="4" t="s">
        <v>202</v>
      </c>
      <c r="L78" s="4" t="s">
        <v>25</v>
      </c>
    </row>
    <row r="79" customFormat="false" ht="15" hidden="false" customHeight="false" outlineLevel="0" collapsed="false">
      <c r="A79" s="4" t="s">
        <v>683</v>
      </c>
      <c r="B79" s="4" t="s">
        <v>684</v>
      </c>
      <c r="C79" s="4" t="s">
        <v>685</v>
      </c>
      <c r="D79" s="4" t="s">
        <v>241</v>
      </c>
      <c r="E79" s="4" t="s">
        <v>54</v>
      </c>
      <c r="F79" s="4" t="s">
        <v>686</v>
      </c>
      <c r="G79" s="4" t="s">
        <v>687</v>
      </c>
      <c r="H79" s="4" t="s">
        <v>199</v>
      </c>
      <c r="I79" s="4" t="s">
        <v>688</v>
      </c>
      <c r="J79" s="4" t="s">
        <v>257</v>
      </c>
      <c r="K79" s="4" t="s">
        <v>214</v>
      </c>
      <c r="L79" s="4" t="s">
        <v>150</v>
      </c>
    </row>
    <row r="80" customFormat="false" ht="15" hidden="false" customHeight="false" outlineLevel="0" collapsed="false">
      <c r="A80" s="4" t="s">
        <v>689</v>
      </c>
      <c r="B80" s="4" t="s">
        <v>690</v>
      </c>
      <c r="C80" s="4" t="s">
        <v>691</v>
      </c>
      <c r="D80" s="4" t="s">
        <v>41</v>
      </c>
      <c r="E80" s="4" t="s">
        <v>66</v>
      </c>
      <c r="F80" s="4" t="s">
        <v>692</v>
      </c>
      <c r="G80" s="4" t="s">
        <v>693</v>
      </c>
      <c r="H80" s="4" t="s">
        <v>189</v>
      </c>
      <c r="I80" s="4" t="s">
        <v>694</v>
      </c>
      <c r="J80" s="4" t="s">
        <v>47</v>
      </c>
      <c r="K80" s="4" t="s">
        <v>224</v>
      </c>
      <c r="L80" s="4" t="s">
        <v>203</v>
      </c>
    </row>
    <row r="81" customFormat="false" ht="15" hidden="false" customHeight="false" outlineLevel="0" collapsed="false">
      <c r="A81" s="4" t="s">
        <v>695</v>
      </c>
      <c r="B81" s="4" t="s">
        <v>696</v>
      </c>
      <c r="C81" s="4" t="s">
        <v>697</v>
      </c>
      <c r="D81" s="4" t="s">
        <v>229</v>
      </c>
      <c r="E81" s="4" t="s">
        <v>42</v>
      </c>
      <c r="F81" s="4" t="s">
        <v>698</v>
      </c>
      <c r="G81" s="4" t="s">
        <v>699</v>
      </c>
      <c r="H81" s="4" t="s">
        <v>307</v>
      </c>
      <c r="I81" s="4" t="s">
        <v>700</v>
      </c>
      <c r="J81" s="4" t="s">
        <v>421</v>
      </c>
      <c r="K81" s="4" t="s">
        <v>236</v>
      </c>
      <c r="L81" s="4" t="s">
        <v>37</v>
      </c>
    </row>
    <row r="82" customFormat="false" ht="15" hidden="false" customHeight="false" outlineLevel="0" collapsed="false">
      <c r="A82" s="4" t="s">
        <v>701</v>
      </c>
      <c r="B82" s="4" t="s">
        <v>702</v>
      </c>
      <c r="C82" s="4" t="s">
        <v>703</v>
      </c>
      <c r="D82" s="4" t="s">
        <v>368</v>
      </c>
      <c r="E82" s="4" t="s">
        <v>253</v>
      </c>
      <c r="F82" s="4" t="s">
        <v>704</v>
      </c>
      <c r="G82" s="4" t="s">
        <v>705</v>
      </c>
      <c r="H82" s="4" t="s">
        <v>233</v>
      </c>
      <c r="I82" s="4" t="s">
        <v>706</v>
      </c>
      <c r="J82" s="4" t="s">
        <v>707</v>
      </c>
      <c r="K82" s="4" t="s">
        <v>247</v>
      </c>
      <c r="L82" s="4" t="s">
        <v>225</v>
      </c>
    </row>
    <row r="83" customFormat="false" ht="15" hidden="false" customHeight="false" outlineLevel="0" collapsed="false">
      <c r="A83" s="4" t="s">
        <v>708</v>
      </c>
      <c r="B83" s="4" t="s">
        <v>709</v>
      </c>
      <c r="C83" s="4" t="s">
        <v>710</v>
      </c>
      <c r="D83" s="4" t="s">
        <v>324</v>
      </c>
      <c r="E83" s="4" t="s">
        <v>18</v>
      </c>
      <c r="F83" s="4" t="s">
        <v>711</v>
      </c>
      <c r="G83" s="4" t="s">
        <v>712</v>
      </c>
      <c r="H83" s="4" t="s">
        <v>327</v>
      </c>
      <c r="I83" s="4" t="s">
        <v>713</v>
      </c>
      <c r="J83" s="4" t="s">
        <v>714</v>
      </c>
      <c r="K83" s="4" t="s">
        <v>258</v>
      </c>
      <c r="L83" s="4" t="s">
        <v>25</v>
      </c>
    </row>
    <row r="84" customFormat="false" ht="15" hidden="false" customHeight="false" outlineLevel="0" collapsed="false">
      <c r="A84" s="4" t="s">
        <v>715</v>
      </c>
      <c r="B84" s="4" t="s">
        <v>716</v>
      </c>
      <c r="C84" s="4" t="s">
        <v>717</v>
      </c>
      <c r="D84" s="4" t="s">
        <v>143</v>
      </c>
      <c r="E84" s="4" t="s">
        <v>30</v>
      </c>
      <c r="F84" s="4" t="s">
        <v>718</v>
      </c>
      <c r="G84" s="4" t="s">
        <v>719</v>
      </c>
      <c r="H84" s="4" t="s">
        <v>33</v>
      </c>
      <c r="I84" s="4" t="s">
        <v>720</v>
      </c>
      <c r="J84" s="4" t="s">
        <v>721</v>
      </c>
      <c r="K84" s="4" t="s">
        <v>267</v>
      </c>
      <c r="L84" s="4" t="s">
        <v>172</v>
      </c>
    </row>
    <row r="85" customFormat="false" ht="15" hidden="false" customHeight="false" outlineLevel="0" collapsed="false">
      <c r="A85" s="4" t="s">
        <v>722</v>
      </c>
      <c r="B85" s="4" t="s">
        <v>723</v>
      </c>
      <c r="C85" s="4" t="s">
        <v>724</v>
      </c>
      <c r="D85" s="4" t="s">
        <v>345</v>
      </c>
      <c r="E85" s="4" t="s">
        <v>66</v>
      </c>
      <c r="F85" s="4" t="s">
        <v>725</v>
      </c>
      <c r="G85" s="4" t="s">
        <v>726</v>
      </c>
      <c r="H85" s="4" t="s">
        <v>81</v>
      </c>
      <c r="I85" s="4" t="s">
        <v>727</v>
      </c>
      <c r="J85" s="4" t="s">
        <v>329</v>
      </c>
      <c r="K85" s="4" t="s">
        <v>728</v>
      </c>
      <c r="L85" s="4" t="s">
        <v>25</v>
      </c>
    </row>
    <row r="86" customFormat="false" ht="15" hidden="false" customHeight="false" outlineLevel="0" collapsed="false">
      <c r="A86" s="4" t="s">
        <v>729</v>
      </c>
      <c r="B86" s="4" t="s">
        <v>730</v>
      </c>
      <c r="C86" s="4" t="s">
        <v>731</v>
      </c>
      <c r="D86" s="4" t="s">
        <v>283</v>
      </c>
      <c r="E86" s="4" t="s">
        <v>208</v>
      </c>
      <c r="F86" s="4" t="s">
        <v>732</v>
      </c>
      <c r="G86" s="4" t="s">
        <v>733</v>
      </c>
      <c r="H86" s="4" t="s">
        <v>355</v>
      </c>
      <c r="I86" s="4" t="s">
        <v>734</v>
      </c>
      <c r="J86" s="4" t="s">
        <v>339</v>
      </c>
      <c r="K86" s="4" t="s">
        <v>735</v>
      </c>
      <c r="L86" s="4" t="s">
        <v>61</v>
      </c>
    </row>
    <row r="87" customFormat="false" ht="15" hidden="false" customHeight="false" outlineLevel="0" collapsed="false">
      <c r="A87" s="4" t="s">
        <v>736</v>
      </c>
      <c r="B87" s="4" t="s">
        <v>737</v>
      </c>
      <c r="C87" s="4" t="s">
        <v>738</v>
      </c>
      <c r="D87" s="4" t="s">
        <v>53</v>
      </c>
      <c r="E87" s="4" t="s">
        <v>18</v>
      </c>
      <c r="F87" s="4" t="s">
        <v>739</v>
      </c>
      <c r="G87" s="4" t="s">
        <v>740</v>
      </c>
      <c r="H87" s="4" t="s">
        <v>127</v>
      </c>
      <c r="I87" s="4" t="s">
        <v>348</v>
      </c>
      <c r="J87" s="4" t="s">
        <v>83</v>
      </c>
      <c r="K87" s="4" t="s">
        <v>48</v>
      </c>
      <c r="L87" s="4" t="s">
        <v>37</v>
      </c>
    </row>
    <row r="88" customFormat="false" ht="15" hidden="false" customHeight="false" outlineLevel="0" collapsed="false">
      <c r="A88" s="4" t="s">
        <v>741</v>
      </c>
      <c r="B88" s="4" t="s">
        <v>742</v>
      </c>
      <c r="C88" s="4" t="s">
        <v>743</v>
      </c>
      <c r="D88" s="4" t="s">
        <v>65</v>
      </c>
      <c r="E88" s="4" t="s">
        <v>253</v>
      </c>
      <c r="F88" s="4" t="s">
        <v>744</v>
      </c>
      <c r="G88" s="4" t="s">
        <v>68</v>
      </c>
      <c r="H88" s="4" t="s">
        <v>370</v>
      </c>
      <c r="I88" s="4" t="s">
        <v>58</v>
      </c>
      <c r="J88" s="4" t="s">
        <v>59</v>
      </c>
      <c r="K88" s="4" t="s">
        <v>745</v>
      </c>
      <c r="L88" s="4" t="s">
        <v>279</v>
      </c>
    </row>
    <row r="89" customFormat="false" ht="15" hidden="false" customHeight="false" outlineLevel="0" collapsed="false">
      <c r="A89" s="4" t="s">
        <v>746</v>
      </c>
      <c r="B89" s="4" t="s">
        <v>747</v>
      </c>
      <c r="C89" s="4" t="s">
        <v>748</v>
      </c>
      <c r="D89" s="4" t="s">
        <v>241</v>
      </c>
      <c r="E89" s="4" t="s">
        <v>749</v>
      </c>
      <c r="F89" s="4" t="s">
        <v>750</v>
      </c>
      <c r="G89" s="4" t="s">
        <v>392</v>
      </c>
      <c r="H89" s="4" t="s">
        <v>264</v>
      </c>
      <c r="I89" s="4" t="s">
        <v>751</v>
      </c>
      <c r="J89" s="4" t="s">
        <v>47</v>
      </c>
      <c r="K89" s="4" t="s">
        <v>72</v>
      </c>
      <c r="L89" s="4" t="s">
        <v>73</v>
      </c>
    </row>
    <row r="90" customFormat="false" ht="15" hidden="false" customHeight="false" outlineLevel="0" collapsed="false">
      <c r="A90" s="4" t="s">
        <v>752</v>
      </c>
      <c r="B90" s="4" t="s">
        <v>753</v>
      </c>
      <c r="C90" s="4" t="s">
        <v>754</v>
      </c>
      <c r="D90" s="4" t="s">
        <v>17</v>
      </c>
      <c r="E90" s="4" t="s">
        <v>42</v>
      </c>
      <c r="F90" s="4" t="s">
        <v>755</v>
      </c>
      <c r="G90" s="4" t="s">
        <v>756</v>
      </c>
      <c r="H90" s="4" t="s">
        <v>116</v>
      </c>
      <c r="I90" s="4" t="s">
        <v>757</v>
      </c>
      <c r="J90" s="4" t="s">
        <v>758</v>
      </c>
      <c r="K90" s="4" t="s">
        <v>391</v>
      </c>
      <c r="L90" s="4" t="s">
        <v>85</v>
      </c>
    </row>
    <row r="91" customFormat="false" ht="15" hidden="false" customHeight="false" outlineLevel="0" collapsed="false">
      <c r="A91" s="4" t="s">
        <v>759</v>
      </c>
      <c r="B91" s="4" t="s">
        <v>760</v>
      </c>
      <c r="C91" s="4" t="s">
        <v>761</v>
      </c>
      <c r="D91" s="4" t="s">
        <v>29</v>
      </c>
      <c r="E91" s="4" t="s">
        <v>679</v>
      </c>
      <c r="F91" s="4" t="s">
        <v>762</v>
      </c>
      <c r="G91" s="4" t="s">
        <v>763</v>
      </c>
      <c r="H91" s="4" t="s">
        <v>296</v>
      </c>
      <c r="I91" s="4" t="s">
        <v>764</v>
      </c>
      <c r="J91" s="4" t="s">
        <v>765</v>
      </c>
      <c r="K91" s="4" t="s">
        <v>766</v>
      </c>
      <c r="L91" s="4" t="s">
        <v>172</v>
      </c>
    </row>
    <row r="92" customFormat="false" ht="15" hidden="false" customHeight="false" outlineLevel="0" collapsed="false">
      <c r="A92" s="4" t="s">
        <v>767</v>
      </c>
      <c r="B92" s="4" t="s">
        <v>768</v>
      </c>
      <c r="C92" s="4" t="s">
        <v>769</v>
      </c>
      <c r="D92" s="4" t="s">
        <v>41</v>
      </c>
      <c r="E92" s="4" t="s">
        <v>66</v>
      </c>
      <c r="F92" s="4" t="s">
        <v>770</v>
      </c>
      <c r="G92" s="4" t="s">
        <v>771</v>
      </c>
      <c r="H92" s="4" t="s">
        <v>104</v>
      </c>
      <c r="I92" s="4" t="s">
        <v>772</v>
      </c>
      <c r="J92" s="4" t="s">
        <v>407</v>
      </c>
      <c r="K92" s="4" t="s">
        <v>408</v>
      </c>
      <c r="L92" s="4" t="s">
        <v>108</v>
      </c>
    </row>
    <row r="93" customFormat="false" ht="15" hidden="false" customHeight="false" outlineLevel="0" collapsed="false">
      <c r="A93" s="4" t="s">
        <v>773</v>
      </c>
      <c r="B93" s="4" t="s">
        <v>774</v>
      </c>
      <c r="C93" s="4" t="s">
        <v>775</v>
      </c>
      <c r="D93" s="4" t="s">
        <v>252</v>
      </c>
      <c r="E93" s="4" t="s">
        <v>776</v>
      </c>
      <c r="F93" s="4" t="s">
        <v>777</v>
      </c>
      <c r="G93" s="4" t="s">
        <v>336</v>
      </c>
      <c r="H93" s="4" t="s">
        <v>275</v>
      </c>
      <c r="I93" s="4" t="s">
        <v>117</v>
      </c>
      <c r="J93" s="4" t="s">
        <v>778</v>
      </c>
      <c r="K93" s="4" t="s">
        <v>415</v>
      </c>
      <c r="L93" s="4" t="s">
        <v>120</v>
      </c>
    </row>
    <row r="94" customFormat="false" ht="15" hidden="false" customHeight="false" outlineLevel="0" collapsed="false">
      <c r="A94" s="4" t="s">
        <v>779</v>
      </c>
      <c r="B94" s="4" t="s">
        <v>780</v>
      </c>
      <c r="C94" s="4" t="s">
        <v>781</v>
      </c>
      <c r="D94" s="4" t="s">
        <v>135</v>
      </c>
      <c r="E94" s="4" t="s">
        <v>253</v>
      </c>
      <c r="F94" s="4" t="s">
        <v>782</v>
      </c>
      <c r="G94" s="4" t="s">
        <v>255</v>
      </c>
      <c r="H94" s="4" t="s">
        <v>137</v>
      </c>
      <c r="I94" s="4" t="s">
        <v>783</v>
      </c>
      <c r="J94" s="4" t="s">
        <v>257</v>
      </c>
      <c r="K94" s="4" t="s">
        <v>422</v>
      </c>
      <c r="L94" s="4" t="s">
        <v>131</v>
      </c>
    </row>
    <row r="95" customFormat="false" ht="15" hidden="false" customHeight="false" outlineLevel="0" collapsed="false">
      <c r="A95" s="4" t="s">
        <v>784</v>
      </c>
      <c r="B95" s="4" t="s">
        <v>785</v>
      </c>
      <c r="C95" s="4" t="s">
        <v>786</v>
      </c>
      <c r="D95" s="4" t="s">
        <v>377</v>
      </c>
      <c r="E95" s="4" t="s">
        <v>230</v>
      </c>
      <c r="F95" s="4" t="s">
        <v>787</v>
      </c>
      <c r="G95" s="4" t="s">
        <v>788</v>
      </c>
      <c r="H95" s="4" t="s">
        <v>179</v>
      </c>
      <c r="I95" s="4" t="s">
        <v>789</v>
      </c>
      <c r="J95" s="4" t="s">
        <v>339</v>
      </c>
      <c r="K95" s="4" t="s">
        <v>431</v>
      </c>
      <c r="L95" s="4" t="s">
        <v>25</v>
      </c>
    </row>
    <row r="96" customFormat="false" ht="15" hidden="false" customHeight="false" outlineLevel="0" collapsed="false">
      <c r="A96" s="4" t="s">
        <v>790</v>
      </c>
      <c r="B96" s="4" t="s">
        <v>791</v>
      </c>
      <c r="C96" s="4" t="s">
        <v>792</v>
      </c>
      <c r="D96" s="4" t="s">
        <v>143</v>
      </c>
      <c r="E96" s="4" t="s">
        <v>776</v>
      </c>
      <c r="F96" s="4" t="s">
        <v>793</v>
      </c>
      <c r="G96" s="4" t="s">
        <v>794</v>
      </c>
      <c r="H96" s="4" t="s">
        <v>146</v>
      </c>
      <c r="I96" s="4" t="s">
        <v>147</v>
      </c>
      <c r="J96" s="4" t="s">
        <v>795</v>
      </c>
      <c r="K96" s="4" t="s">
        <v>439</v>
      </c>
      <c r="L96" s="4" t="s">
        <v>150</v>
      </c>
    </row>
    <row r="97" customFormat="false" ht="15" hidden="false" customHeight="false" outlineLevel="0" collapsed="false">
      <c r="A97" s="4" t="s">
        <v>796</v>
      </c>
      <c r="B97" s="4" t="s">
        <v>797</v>
      </c>
      <c r="C97" s="4" t="s">
        <v>798</v>
      </c>
      <c r="D97" s="4" t="s">
        <v>101</v>
      </c>
      <c r="E97" s="4" t="s">
        <v>42</v>
      </c>
      <c r="F97" s="4" t="s">
        <v>799</v>
      </c>
      <c r="G97" s="4" t="s">
        <v>800</v>
      </c>
      <c r="H97" s="4" t="s">
        <v>93</v>
      </c>
      <c r="I97" s="4" t="s">
        <v>212</v>
      </c>
      <c r="J97" s="4" t="s">
        <v>277</v>
      </c>
      <c r="K97" s="4" t="s">
        <v>446</v>
      </c>
      <c r="L97" s="4" t="s">
        <v>161</v>
      </c>
    </row>
    <row r="98" customFormat="false" ht="15" hidden="false" customHeight="false" outlineLevel="0" collapsed="false">
      <c r="A98" s="4" t="s">
        <v>801</v>
      </c>
      <c r="B98" s="4" t="s">
        <v>802</v>
      </c>
      <c r="C98" s="4" t="s">
        <v>803</v>
      </c>
      <c r="D98" s="4" t="s">
        <v>324</v>
      </c>
      <c r="E98" s="4" t="s">
        <v>18</v>
      </c>
      <c r="F98" s="4" t="s">
        <v>804</v>
      </c>
      <c r="G98" s="4" t="s">
        <v>805</v>
      </c>
      <c r="H98" s="4" t="s">
        <v>157</v>
      </c>
      <c r="I98" s="4" t="s">
        <v>452</v>
      </c>
      <c r="J98" s="4" t="s">
        <v>707</v>
      </c>
      <c r="K98" s="4" t="s">
        <v>453</v>
      </c>
      <c r="L98" s="4" t="s">
        <v>268</v>
      </c>
    </row>
    <row r="99" customFormat="false" ht="15" hidden="false" customHeight="false" outlineLevel="0" collapsed="false">
      <c r="A99" s="4" t="s">
        <v>806</v>
      </c>
      <c r="B99" s="4" t="s">
        <v>807</v>
      </c>
      <c r="C99" s="4" t="s">
        <v>456</v>
      </c>
      <c r="D99" s="4" t="s">
        <v>272</v>
      </c>
      <c r="E99" s="4" t="s">
        <v>457</v>
      </c>
      <c r="F99" s="4" t="s">
        <v>808</v>
      </c>
      <c r="G99" s="4" t="s">
        <v>809</v>
      </c>
      <c r="H99" s="4" t="s">
        <v>168</v>
      </c>
      <c r="I99" s="4" t="s">
        <v>460</v>
      </c>
      <c r="J99" s="4" t="s">
        <v>181</v>
      </c>
      <c r="K99" s="4" t="s">
        <v>462</v>
      </c>
      <c r="L99" s="4" t="s">
        <v>25</v>
      </c>
    </row>
    <row r="100" customFormat="false" ht="15" hidden="false" customHeight="false" outlineLevel="0" collapsed="false">
      <c r="A100" s="4" t="s">
        <v>810</v>
      </c>
      <c r="B100" s="4" t="s">
        <v>811</v>
      </c>
      <c r="C100" s="4" t="s">
        <v>465</v>
      </c>
      <c r="D100" s="4" t="s">
        <v>112</v>
      </c>
      <c r="E100" s="4" t="s">
        <v>54</v>
      </c>
      <c r="F100" s="4" t="s">
        <v>812</v>
      </c>
      <c r="G100" s="4" t="s">
        <v>813</v>
      </c>
      <c r="H100" s="4" t="s">
        <v>189</v>
      </c>
      <c r="I100" s="4" t="s">
        <v>468</v>
      </c>
      <c r="J100" s="4" t="s">
        <v>106</v>
      </c>
      <c r="K100" s="4" t="s">
        <v>469</v>
      </c>
      <c r="L100" s="4" t="s">
        <v>150</v>
      </c>
    </row>
    <row r="101" customFormat="false" ht="15" hidden="false" customHeight="false" outlineLevel="0" collapsed="false">
      <c r="A101" s="4" t="s">
        <v>814</v>
      </c>
      <c r="B101" s="4" t="s">
        <v>815</v>
      </c>
      <c r="C101" s="4" t="s">
        <v>472</v>
      </c>
      <c r="D101" s="4" t="s">
        <v>473</v>
      </c>
      <c r="E101" s="4" t="s">
        <v>66</v>
      </c>
      <c r="F101" s="4" t="s">
        <v>816</v>
      </c>
      <c r="G101" s="4" t="s">
        <v>817</v>
      </c>
      <c r="H101" s="4" t="s">
        <v>199</v>
      </c>
      <c r="I101" s="4" t="s">
        <v>476</v>
      </c>
      <c r="J101" s="4" t="s">
        <v>339</v>
      </c>
      <c r="K101" s="4" t="s">
        <v>477</v>
      </c>
      <c r="L101" s="4" t="s">
        <v>203</v>
      </c>
    </row>
    <row r="102" customFormat="false" ht="15" hidden="false" customHeight="false" outlineLevel="0" collapsed="false">
      <c r="A102" s="4" t="s">
        <v>818</v>
      </c>
      <c r="B102" s="4" t="s">
        <v>819</v>
      </c>
      <c r="C102" s="4" t="s">
        <v>480</v>
      </c>
      <c r="D102" s="4" t="s">
        <v>426</v>
      </c>
      <c r="E102" s="4" t="s">
        <v>90</v>
      </c>
      <c r="F102" s="4" t="s">
        <v>820</v>
      </c>
      <c r="G102" s="4" t="s">
        <v>821</v>
      </c>
      <c r="H102" s="4" t="s">
        <v>211</v>
      </c>
      <c r="I102" s="4" t="s">
        <v>483</v>
      </c>
      <c r="J102" s="4" t="s">
        <v>484</v>
      </c>
      <c r="K102" s="4" t="s">
        <v>485</v>
      </c>
      <c r="L102" s="4" t="s">
        <v>25</v>
      </c>
    </row>
    <row r="103" customFormat="false" ht="15" hidden="false" customHeight="false" outlineLevel="0" collapsed="false">
      <c r="A103" s="4" t="s">
        <v>822</v>
      </c>
      <c r="B103" s="4" t="s">
        <v>823</v>
      </c>
      <c r="C103" s="4" t="s">
        <v>488</v>
      </c>
      <c r="D103" s="4" t="s">
        <v>165</v>
      </c>
      <c r="E103" s="4" t="s">
        <v>824</v>
      </c>
      <c r="F103" s="4" t="s">
        <v>825</v>
      </c>
      <c r="G103" s="4" t="s">
        <v>826</v>
      </c>
      <c r="H103" s="4" t="s">
        <v>221</v>
      </c>
      <c r="I103" s="4" t="s">
        <v>493</v>
      </c>
      <c r="J103" s="4" t="s">
        <v>494</v>
      </c>
      <c r="K103" s="4" t="s">
        <v>495</v>
      </c>
      <c r="L103" s="4" t="s">
        <v>225</v>
      </c>
    </row>
    <row r="104" customFormat="false" ht="15" hidden="false" customHeight="false" outlineLevel="0" collapsed="false">
      <c r="A104" s="4" t="s">
        <v>827</v>
      </c>
      <c r="B104" s="4" t="s">
        <v>828</v>
      </c>
      <c r="C104" s="4" t="s">
        <v>498</v>
      </c>
      <c r="D104" s="4" t="s">
        <v>261</v>
      </c>
      <c r="E104" s="4" t="s">
        <v>30</v>
      </c>
      <c r="F104" s="4" t="s">
        <v>829</v>
      </c>
      <c r="G104" s="4" t="s">
        <v>263</v>
      </c>
      <c r="H104" s="4" t="s">
        <v>233</v>
      </c>
      <c r="I104" s="4" t="s">
        <v>500</v>
      </c>
      <c r="J104" s="4" t="s">
        <v>501</v>
      </c>
      <c r="K104" s="4" t="s">
        <v>502</v>
      </c>
      <c r="L104" s="4" t="s">
        <v>237</v>
      </c>
    </row>
    <row r="106" customFormat="false" ht="15" hidden="false" customHeight="true" outlineLevel="0" collapsed="false">
      <c r="A106" s="5" t="s">
        <v>830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customFormat="false" ht="15" hidden="false" customHeight="fals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</sheetData>
  <mergeCells count="2">
    <mergeCell ref="A1:L1"/>
    <mergeCell ref="A106:L107"/>
  </mergeCells>
  <hyperlinks>
    <hyperlink ref="A2" r:id="rId1" location="Dashboard!A1" display="&lt;&lt;  Voltar ao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100"/>
    <pageSetUpPr fitToPage="true"/>
  </sheetPr>
  <dimension ref="A1:M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9" min="8" style="0" width="14"/>
    <col collapsed="false" customWidth="true" hidden="false" outlineLevel="0" max="10" min="10" style="0" width="8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0"/>
  </cols>
  <sheetData>
    <row r="1" customFormat="false" ht="30" hidden="false" customHeight="true" outlineLevel="0" collapsed="false">
      <c r="A1" s="1" t="s">
        <v>831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</row>
    <row r="3" customFormat="false" ht="15" hidden="false" customHeight="true" outlineLevel="0" collapsed="false">
      <c r="A3" s="6" t="s">
        <v>832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customFormat="false" ht="21.75" hidden="false" customHeight="true" outlineLevel="0" collapsed="false">
      <c r="A4" s="3" t="s">
        <v>2</v>
      </c>
      <c r="B4" s="3" t="s">
        <v>833</v>
      </c>
      <c r="C4" s="3" t="s">
        <v>834</v>
      </c>
      <c r="D4" s="3" t="s">
        <v>5</v>
      </c>
      <c r="E4" s="3" t="s">
        <v>835</v>
      </c>
      <c r="F4" s="3" t="s">
        <v>836</v>
      </c>
      <c r="G4" s="3" t="s">
        <v>837</v>
      </c>
      <c r="H4" s="3" t="s">
        <v>838</v>
      </c>
      <c r="I4" s="3" t="s">
        <v>839</v>
      </c>
      <c r="J4" s="3" t="s">
        <v>840</v>
      </c>
      <c r="K4" s="3" t="s">
        <v>841</v>
      </c>
      <c r="L4" s="3" t="s">
        <v>842</v>
      </c>
      <c r="M4" s="3" t="s">
        <v>843</v>
      </c>
    </row>
    <row r="5" customFormat="false" ht="15" hidden="false" customHeight="false" outlineLevel="0" collapsed="false">
      <c r="A5" s="4" t="n">
        <v>6</v>
      </c>
      <c r="B5" s="7" t="s">
        <v>844</v>
      </c>
      <c r="C5" s="8" t="s">
        <v>16</v>
      </c>
      <c r="D5" s="8" t="s">
        <v>17</v>
      </c>
      <c r="E5" s="4" t="n">
        <v>2022</v>
      </c>
      <c r="F5" s="9" t="n">
        <v>79500</v>
      </c>
      <c r="G5" s="4" t="n">
        <v>9800</v>
      </c>
      <c r="H5" s="8" t="s">
        <v>81</v>
      </c>
      <c r="I5" s="8" t="s">
        <v>764</v>
      </c>
      <c r="J5" s="4" t="s">
        <v>845</v>
      </c>
      <c r="K5" s="8" t="s">
        <v>846</v>
      </c>
      <c r="L5" s="8" t="s">
        <v>237</v>
      </c>
      <c r="M5" s="4"/>
    </row>
    <row r="6" customFormat="false" ht="15" hidden="false" customHeight="false" outlineLevel="0" collapsed="false">
      <c r="A6" s="4" t="n">
        <v>7</v>
      </c>
      <c r="B6" s="4" t="s">
        <v>847</v>
      </c>
      <c r="C6" s="8" t="s">
        <v>848</v>
      </c>
      <c r="D6" s="8" t="s">
        <v>29</v>
      </c>
      <c r="E6" s="4" t="n">
        <v>2024</v>
      </c>
      <c r="F6" s="9" t="n">
        <v>235000</v>
      </c>
      <c r="G6" s="4" t="n">
        <v>1200</v>
      </c>
      <c r="H6" s="8" t="s">
        <v>370</v>
      </c>
      <c r="I6" s="8" t="s">
        <v>34</v>
      </c>
      <c r="J6" s="4" t="s">
        <v>849</v>
      </c>
      <c r="K6" s="8" t="s">
        <v>850</v>
      </c>
      <c r="L6" s="8" t="s">
        <v>237</v>
      </c>
      <c r="M6" s="4" t="s">
        <v>851</v>
      </c>
    </row>
    <row r="7" customFormat="false" ht="15" hidden="false" customHeight="false" outlineLevel="0" collapsed="false">
      <c r="A7" s="4" t="n">
        <v>8</v>
      </c>
      <c r="B7" s="4" t="s">
        <v>852</v>
      </c>
      <c r="C7" s="8" t="s">
        <v>853</v>
      </c>
      <c r="D7" s="8" t="s">
        <v>41</v>
      </c>
      <c r="E7" s="4" t="n">
        <v>2023</v>
      </c>
      <c r="F7" s="9" t="n">
        <v>112750</v>
      </c>
      <c r="G7" s="4" t="n">
        <v>6400</v>
      </c>
      <c r="H7" s="8" t="s">
        <v>127</v>
      </c>
      <c r="I7" s="8" t="s">
        <v>751</v>
      </c>
      <c r="J7" s="4" t="s">
        <v>257</v>
      </c>
      <c r="K7" s="8" t="s">
        <v>48</v>
      </c>
      <c r="L7" s="8" t="s">
        <v>320</v>
      </c>
      <c r="M7" s="4" t="s">
        <v>854</v>
      </c>
    </row>
    <row r="8" customFormat="false" ht="15" hidden="false" customHeight="false" outlineLevel="0" collapsed="false">
      <c r="A8" s="4" t="n">
        <v>9</v>
      </c>
      <c r="B8" s="7" t="s">
        <v>844</v>
      </c>
      <c r="C8" s="8" t="s">
        <v>52</v>
      </c>
      <c r="D8" s="8" t="s">
        <v>53</v>
      </c>
      <c r="E8" s="4" t="n">
        <v>2021</v>
      </c>
      <c r="F8" s="9" t="n">
        <v>68900</v>
      </c>
      <c r="G8" s="4" t="n">
        <v>28</v>
      </c>
      <c r="H8" s="8" t="s">
        <v>855</v>
      </c>
      <c r="I8" s="8" t="s">
        <v>58</v>
      </c>
      <c r="J8" s="4" t="s">
        <v>856</v>
      </c>
      <c r="K8" s="8" t="s">
        <v>857</v>
      </c>
      <c r="L8" s="8" t="s">
        <v>61</v>
      </c>
      <c r="M8" s="4"/>
    </row>
    <row r="9" customFormat="false" ht="15" hidden="false" customHeight="false" outlineLevel="0" collapsed="false">
      <c r="A9" s="4" t="n">
        <v>10</v>
      </c>
      <c r="B9" s="4" t="s">
        <v>858</v>
      </c>
      <c r="C9" s="8" t="s">
        <v>64</v>
      </c>
      <c r="D9" s="8" t="s">
        <v>65</v>
      </c>
      <c r="E9" s="4" t="n">
        <v>2024</v>
      </c>
      <c r="F9" s="9" t="n">
        <v>121000</v>
      </c>
      <c r="G9" s="4" t="n">
        <v>0</v>
      </c>
      <c r="H9" s="8" t="s">
        <v>189</v>
      </c>
      <c r="I9" s="8" t="s">
        <v>859</v>
      </c>
      <c r="J9" s="4" t="s">
        <v>106</v>
      </c>
      <c r="K9" s="8" t="s">
        <v>72</v>
      </c>
      <c r="L9" s="8" t="s">
        <v>237</v>
      </c>
      <c r="M9" s="4" t="s">
        <v>860</v>
      </c>
    </row>
    <row r="10" customFormat="false" ht="15" hidden="false" customHeight="false" outlineLevel="0" collapsed="false">
      <c r="A10" s="4" t="n">
        <v>11</v>
      </c>
      <c r="B10" s="4" t="s">
        <v>861</v>
      </c>
      <c r="C10" s="8" t="s">
        <v>76</v>
      </c>
      <c r="D10" s="8" t="s">
        <v>77</v>
      </c>
      <c r="E10" s="4" t="n">
        <v>2023</v>
      </c>
      <c r="F10" s="9" t="n">
        <v>104500</v>
      </c>
      <c r="G10" s="4" t="n">
        <v>14500</v>
      </c>
      <c r="H10" s="8" t="s">
        <v>81</v>
      </c>
      <c r="I10" s="8" t="s">
        <v>82</v>
      </c>
      <c r="J10" s="4" t="s">
        <v>83</v>
      </c>
      <c r="K10" s="8" t="s">
        <v>862</v>
      </c>
      <c r="L10" s="8" t="s">
        <v>863</v>
      </c>
      <c r="M10" s="4" t="s">
        <v>864</v>
      </c>
    </row>
    <row r="11" customFormat="false" ht="15" hidden="false" customHeight="false" outlineLevel="0" collapsed="false">
      <c r="A11" s="4" t="n">
        <v>12</v>
      </c>
      <c r="B11" s="4" t="s">
        <v>865</v>
      </c>
      <c r="C11" s="8" t="s">
        <v>88</v>
      </c>
      <c r="D11" s="8" t="s">
        <v>89</v>
      </c>
      <c r="E11" s="4" t="n">
        <v>2020</v>
      </c>
      <c r="F11" s="9" t="n">
        <v>96300</v>
      </c>
      <c r="G11" s="4" t="n">
        <v>41000</v>
      </c>
      <c r="H11" s="8" t="s">
        <v>866</v>
      </c>
      <c r="I11" s="8" t="s">
        <v>95</v>
      </c>
      <c r="J11" s="4" t="s">
        <v>867</v>
      </c>
      <c r="K11" s="8" t="s">
        <v>96</v>
      </c>
      <c r="L11" s="8" t="s">
        <v>237</v>
      </c>
      <c r="M11" s="4" t="s">
        <v>868</v>
      </c>
    </row>
    <row r="12" customFormat="false" ht="15" hidden="false" customHeight="false" outlineLevel="0" collapsed="false">
      <c r="A12" s="4" t="n">
        <v>13</v>
      </c>
      <c r="B12" s="7" t="s">
        <v>844</v>
      </c>
      <c r="C12" s="8" t="s">
        <v>100</v>
      </c>
      <c r="D12" s="8" t="s">
        <v>101</v>
      </c>
      <c r="E12" s="4" t="n">
        <v>2022</v>
      </c>
      <c r="F12" s="9" t="n">
        <v>89750</v>
      </c>
      <c r="G12" s="4" t="n">
        <v>11744</v>
      </c>
      <c r="H12" s="8" t="s">
        <v>370</v>
      </c>
      <c r="I12" s="8" t="s">
        <v>105</v>
      </c>
      <c r="J12" s="4" t="s">
        <v>106</v>
      </c>
      <c r="K12" s="8" t="s">
        <v>869</v>
      </c>
      <c r="L12" s="8" t="s">
        <v>870</v>
      </c>
      <c r="M12" s="4"/>
    </row>
    <row r="13" customFormat="false" ht="15" hidden="false" customHeight="false" outlineLevel="0" collapsed="false">
      <c r="A13" s="4" t="n">
        <v>14</v>
      </c>
      <c r="B13" s="4" t="s">
        <v>871</v>
      </c>
      <c r="C13" s="8" t="s">
        <v>111</v>
      </c>
      <c r="D13" s="8" t="s">
        <v>112</v>
      </c>
      <c r="E13" s="4" t="n">
        <v>2021</v>
      </c>
      <c r="F13" s="9" t="n">
        <v>73500</v>
      </c>
      <c r="G13" s="4" t="n">
        <v>22300</v>
      </c>
      <c r="H13" s="8" t="s">
        <v>872</v>
      </c>
      <c r="I13" s="8" t="s">
        <v>873</v>
      </c>
      <c r="J13" s="4" t="s">
        <v>118</v>
      </c>
      <c r="K13" s="8" t="s">
        <v>119</v>
      </c>
      <c r="L13" s="8" t="s">
        <v>874</v>
      </c>
      <c r="M13" s="4" t="s">
        <v>864</v>
      </c>
    </row>
    <row r="14" customFormat="false" ht="15" hidden="false" customHeight="false" outlineLevel="0" collapsed="false">
      <c r="A14" s="4" t="n">
        <v>15</v>
      </c>
      <c r="B14" s="4" t="s">
        <v>875</v>
      </c>
      <c r="C14" s="8" t="s">
        <v>123</v>
      </c>
      <c r="D14" s="8" t="s">
        <v>124</v>
      </c>
      <c r="E14" s="4" t="n">
        <v>2024</v>
      </c>
      <c r="F14" s="9" t="n">
        <v>95000</v>
      </c>
      <c r="G14" s="4" t="n">
        <v>3500</v>
      </c>
      <c r="H14" s="8" t="s">
        <v>127</v>
      </c>
      <c r="I14" s="8" t="s">
        <v>772</v>
      </c>
      <c r="J14" s="4" t="s">
        <v>407</v>
      </c>
      <c r="K14" s="8" t="s">
        <v>130</v>
      </c>
      <c r="L14" s="8" t="s">
        <v>320</v>
      </c>
      <c r="M14" s="4" t="s">
        <v>876</v>
      </c>
    </row>
    <row r="15" customFormat="false" ht="15" hidden="false" customHeight="false" outlineLevel="0" collapsed="false">
      <c r="A15" s="4" t="n">
        <v>16</v>
      </c>
      <c r="B15" s="4" t="s">
        <v>877</v>
      </c>
      <c r="C15" s="8" t="s">
        <v>134</v>
      </c>
      <c r="D15" s="8" t="s">
        <v>135</v>
      </c>
      <c r="E15" s="4" t="n">
        <v>2023</v>
      </c>
      <c r="F15" s="9" t="n">
        <v>153200.5</v>
      </c>
      <c r="G15" s="4" t="n">
        <v>11</v>
      </c>
      <c r="H15" s="8" t="s">
        <v>878</v>
      </c>
      <c r="I15" s="8" t="s">
        <v>783</v>
      </c>
      <c r="J15" s="4" t="s">
        <v>257</v>
      </c>
      <c r="K15" s="8" t="s">
        <v>879</v>
      </c>
      <c r="L15" s="8" t="s">
        <v>237</v>
      </c>
      <c r="M15" s="4" t="s">
        <v>876</v>
      </c>
    </row>
    <row r="16" customFormat="false" ht="15" hidden="false" customHeight="false" outlineLevel="0" collapsed="false">
      <c r="A16" s="4" t="n">
        <v>17</v>
      </c>
      <c r="B16" s="7" t="s">
        <v>844</v>
      </c>
      <c r="C16" s="8" t="s">
        <v>142</v>
      </c>
      <c r="D16" s="8" t="s">
        <v>143</v>
      </c>
      <c r="E16" s="4" t="n">
        <v>2024</v>
      </c>
      <c r="F16" s="9" t="n">
        <v>241000</v>
      </c>
      <c r="G16" s="4" t="n">
        <v>750</v>
      </c>
      <c r="H16" s="8" t="s">
        <v>370</v>
      </c>
      <c r="I16" s="8" t="s">
        <v>147</v>
      </c>
      <c r="J16" s="4" t="s">
        <v>148</v>
      </c>
      <c r="K16" s="8" t="s">
        <v>646</v>
      </c>
      <c r="L16" s="8" t="s">
        <v>61</v>
      </c>
      <c r="M16" s="4"/>
    </row>
    <row r="17" customFormat="false" ht="15" hidden="false" customHeight="false" outlineLevel="0" collapsed="false">
      <c r="A17" s="4" t="n">
        <v>18</v>
      </c>
      <c r="B17" s="4" t="s">
        <v>880</v>
      </c>
      <c r="C17" s="8" t="s">
        <v>153</v>
      </c>
      <c r="D17" s="8" t="s">
        <v>154</v>
      </c>
      <c r="E17" s="4" t="n">
        <v>2022</v>
      </c>
      <c r="F17" s="9" t="n">
        <v>132000</v>
      </c>
      <c r="G17" s="4" t="n">
        <v>19250</v>
      </c>
      <c r="H17" s="8" t="s">
        <v>855</v>
      </c>
      <c r="I17" s="8" t="s">
        <v>734</v>
      </c>
      <c r="J17" s="4" t="s">
        <v>106</v>
      </c>
      <c r="K17" s="8" t="s">
        <v>160</v>
      </c>
      <c r="L17" s="8" t="s">
        <v>237</v>
      </c>
      <c r="M17" s="4" t="s">
        <v>860</v>
      </c>
    </row>
    <row r="18" customFormat="false" ht="15" hidden="false" customHeight="false" outlineLevel="0" collapsed="false">
      <c r="A18" s="4" t="n">
        <v>19</v>
      </c>
      <c r="B18" s="4" t="s">
        <v>881</v>
      </c>
      <c r="C18" s="8" t="s">
        <v>164</v>
      </c>
      <c r="D18" s="8" t="s">
        <v>165</v>
      </c>
      <c r="E18" s="4" t="n">
        <v>2024</v>
      </c>
      <c r="F18" s="9" t="n">
        <v>188000</v>
      </c>
      <c r="G18" s="4" t="n">
        <v>2100</v>
      </c>
      <c r="H18" s="8" t="s">
        <v>882</v>
      </c>
      <c r="I18" s="8" t="s">
        <v>169</v>
      </c>
      <c r="J18" s="4" t="s">
        <v>257</v>
      </c>
      <c r="K18" s="8" t="s">
        <v>171</v>
      </c>
      <c r="L18" s="8" t="s">
        <v>883</v>
      </c>
      <c r="M18" s="4" t="s">
        <v>884</v>
      </c>
    </row>
    <row r="19" customFormat="false" ht="15" hidden="false" customHeight="false" outlineLevel="0" collapsed="false">
      <c r="A19" s="4" t="n">
        <v>20</v>
      </c>
      <c r="B19" s="4" t="s">
        <v>885</v>
      </c>
      <c r="C19" s="8" t="s">
        <v>175</v>
      </c>
      <c r="D19" s="8" t="s">
        <v>176</v>
      </c>
      <c r="E19" s="4" t="n">
        <v>2023</v>
      </c>
      <c r="F19" s="9" t="n">
        <v>127800</v>
      </c>
      <c r="G19" s="4" t="n">
        <v>12000</v>
      </c>
      <c r="H19" s="8" t="s">
        <v>81</v>
      </c>
      <c r="I19" s="8" t="s">
        <v>460</v>
      </c>
      <c r="J19" s="4" t="s">
        <v>461</v>
      </c>
      <c r="K19" s="8" t="s">
        <v>667</v>
      </c>
      <c r="L19" s="8" t="s">
        <v>237</v>
      </c>
      <c r="M19" s="4" t="s">
        <v>884</v>
      </c>
    </row>
    <row r="20" customFormat="false" ht="15" hidden="false" customHeight="false" outlineLevel="0" collapsed="false">
      <c r="A20" s="4" t="n">
        <v>21</v>
      </c>
      <c r="B20" s="4" t="s">
        <v>886</v>
      </c>
      <c r="C20" s="8" t="s">
        <v>185</v>
      </c>
      <c r="D20" s="8" t="s">
        <v>186</v>
      </c>
      <c r="E20" s="4" t="n">
        <v>2021</v>
      </c>
      <c r="F20" s="9" t="n">
        <v>58900</v>
      </c>
      <c r="G20" s="4" t="n">
        <v>33700</v>
      </c>
      <c r="H20" s="8" t="s">
        <v>189</v>
      </c>
      <c r="I20" s="8" t="s">
        <v>190</v>
      </c>
      <c r="J20" s="4" t="s">
        <v>83</v>
      </c>
      <c r="K20" s="8" t="s">
        <v>192</v>
      </c>
      <c r="L20" s="8" t="s">
        <v>61</v>
      </c>
      <c r="M20" s="4" t="s">
        <v>887</v>
      </c>
    </row>
    <row r="21" customFormat="false" ht="15" hidden="false" customHeight="false" outlineLevel="0" collapsed="false">
      <c r="A21" s="4" t="n">
        <v>22</v>
      </c>
      <c r="B21" s="7" t="s">
        <v>844</v>
      </c>
      <c r="C21" s="8" t="s">
        <v>195</v>
      </c>
      <c r="D21" s="8" t="s">
        <v>196</v>
      </c>
      <c r="E21" s="4" t="n">
        <v>2024</v>
      </c>
      <c r="F21" s="9" t="n">
        <v>164000</v>
      </c>
      <c r="G21" s="4" t="n">
        <v>900</v>
      </c>
      <c r="H21" s="8" t="s">
        <v>127</v>
      </c>
      <c r="I21" s="8" t="s">
        <v>888</v>
      </c>
      <c r="J21" s="4" t="s">
        <v>201</v>
      </c>
      <c r="K21" s="8" t="s">
        <v>889</v>
      </c>
      <c r="L21" s="8" t="s">
        <v>320</v>
      </c>
      <c r="M21" s="4"/>
    </row>
    <row r="22" customFormat="false" ht="15" hidden="false" customHeight="false" outlineLevel="0" collapsed="false">
      <c r="A22" s="4" t="n">
        <v>23</v>
      </c>
      <c r="B22" s="4" t="s">
        <v>890</v>
      </c>
      <c r="C22" s="8" t="s">
        <v>206</v>
      </c>
      <c r="D22" s="8" t="s">
        <v>207</v>
      </c>
      <c r="E22" s="4" t="n">
        <v>2023</v>
      </c>
      <c r="F22" s="9" t="n">
        <v>118500</v>
      </c>
      <c r="G22" s="4" t="n">
        <v>7800</v>
      </c>
      <c r="H22" s="8" t="s">
        <v>370</v>
      </c>
      <c r="I22" s="8" t="s">
        <v>212</v>
      </c>
      <c r="J22" s="4" t="s">
        <v>277</v>
      </c>
      <c r="K22" s="8" t="s">
        <v>214</v>
      </c>
      <c r="L22" s="8" t="s">
        <v>237</v>
      </c>
      <c r="M22" s="4" t="s">
        <v>891</v>
      </c>
    </row>
    <row r="23" customFormat="false" ht="15" hidden="false" customHeight="false" outlineLevel="0" collapsed="false">
      <c r="A23" s="4" t="n">
        <v>24</v>
      </c>
      <c r="B23" s="7" t="s">
        <v>844</v>
      </c>
      <c r="C23" s="8" t="s">
        <v>217</v>
      </c>
      <c r="D23" s="8" t="s">
        <v>218</v>
      </c>
      <c r="E23" s="4" t="n">
        <v>2022</v>
      </c>
      <c r="F23" s="9" t="n">
        <v>91300</v>
      </c>
      <c r="G23" s="4" t="n">
        <v>16000</v>
      </c>
      <c r="H23" s="8" t="s">
        <v>81</v>
      </c>
      <c r="I23" s="8" t="s">
        <v>892</v>
      </c>
      <c r="J23" s="4" t="s">
        <v>223</v>
      </c>
      <c r="K23" s="8" t="s">
        <v>224</v>
      </c>
      <c r="L23" s="8" t="s">
        <v>61</v>
      </c>
      <c r="M23" s="4"/>
    </row>
    <row r="24" customFormat="false" ht="15" hidden="false" customHeight="false" outlineLevel="0" collapsed="false">
      <c r="A24" s="4" t="n">
        <v>25</v>
      </c>
      <c r="B24" s="4" t="s">
        <v>893</v>
      </c>
      <c r="C24" s="8" t="s">
        <v>228</v>
      </c>
      <c r="D24" s="8" t="s">
        <v>229</v>
      </c>
      <c r="E24" s="4" t="n">
        <v>2024</v>
      </c>
      <c r="F24" s="9" t="n">
        <v>158750</v>
      </c>
      <c r="G24" s="4" t="n">
        <v>2500</v>
      </c>
      <c r="H24" s="8" t="s">
        <v>866</v>
      </c>
      <c r="I24" s="8" t="s">
        <v>894</v>
      </c>
      <c r="J24" s="4" t="s">
        <v>895</v>
      </c>
      <c r="K24" s="8" t="s">
        <v>236</v>
      </c>
      <c r="L24" s="8" t="s">
        <v>237</v>
      </c>
      <c r="M24" s="4" t="s">
        <v>896</v>
      </c>
    </row>
    <row r="25" customFormat="false" ht="15" hidden="false" customHeight="false" outlineLevel="0" collapsed="false">
      <c r="A25" s="4" t="n">
        <v>26</v>
      </c>
      <c r="B25" s="4" t="s">
        <v>897</v>
      </c>
      <c r="C25" s="8" t="s">
        <v>240</v>
      </c>
      <c r="D25" s="8" t="s">
        <v>241</v>
      </c>
      <c r="E25" s="4" t="n">
        <v>2020</v>
      </c>
      <c r="F25" s="9" t="n">
        <v>72000</v>
      </c>
      <c r="G25" s="4" t="n">
        <v>49000</v>
      </c>
      <c r="H25" s="8" t="s">
        <v>189</v>
      </c>
      <c r="I25" s="8" t="s">
        <v>245</v>
      </c>
      <c r="J25" s="4" t="s">
        <v>563</v>
      </c>
      <c r="K25" s="8" t="s">
        <v>247</v>
      </c>
      <c r="L25" s="8" t="s">
        <v>863</v>
      </c>
      <c r="M25" s="4" t="s">
        <v>896</v>
      </c>
    </row>
    <row r="26" customFormat="false" ht="15" hidden="false" customHeight="false" outlineLevel="0" collapsed="false">
      <c r="A26" s="4" t="n">
        <v>27</v>
      </c>
      <c r="B26" s="4" t="s">
        <v>898</v>
      </c>
      <c r="C26" s="8" t="s">
        <v>251</v>
      </c>
      <c r="D26" s="8" t="s">
        <v>252</v>
      </c>
      <c r="E26" s="4" t="n">
        <v>2025</v>
      </c>
      <c r="F26" s="9" t="n">
        <v>86500</v>
      </c>
      <c r="G26" s="4" t="n">
        <v>0</v>
      </c>
      <c r="H26" s="8" t="s">
        <v>370</v>
      </c>
      <c r="I26" s="8" t="s">
        <v>899</v>
      </c>
      <c r="J26" s="4" t="s">
        <v>257</v>
      </c>
      <c r="K26" s="8" t="s">
        <v>258</v>
      </c>
      <c r="L26" s="8" t="s">
        <v>237</v>
      </c>
      <c r="M26" s="4" t="s">
        <v>900</v>
      </c>
    </row>
    <row r="27" customFormat="false" ht="15" hidden="false" customHeight="false" outlineLevel="0" collapsed="false">
      <c r="A27" s="4" t="n">
        <v>28</v>
      </c>
      <c r="B27" s="7" t="s">
        <v>844</v>
      </c>
      <c r="C27" s="8" t="s">
        <v>260</v>
      </c>
      <c r="D27" s="8" t="s">
        <v>261</v>
      </c>
      <c r="E27" s="4" t="n">
        <v>2024</v>
      </c>
      <c r="F27" s="9" t="n">
        <v>270000</v>
      </c>
      <c r="G27" s="4" t="n">
        <v>1050</v>
      </c>
      <c r="H27" s="8" t="s">
        <v>855</v>
      </c>
      <c r="I27" s="8" t="s">
        <v>265</v>
      </c>
      <c r="J27" s="4" t="s">
        <v>901</v>
      </c>
      <c r="K27" s="8" t="s">
        <v>267</v>
      </c>
      <c r="L27" s="8" t="s">
        <v>902</v>
      </c>
      <c r="M27" s="4"/>
    </row>
    <row r="28" customFormat="false" ht="15" hidden="false" customHeight="false" outlineLevel="0" collapsed="false">
      <c r="A28" s="4" t="n">
        <v>29</v>
      </c>
      <c r="B28" s="4" t="s">
        <v>903</v>
      </c>
      <c r="C28" s="8" t="s">
        <v>271</v>
      </c>
      <c r="D28" s="8" t="s">
        <v>272</v>
      </c>
      <c r="E28" s="4" t="n">
        <v>2023</v>
      </c>
      <c r="F28" s="9" t="n">
        <v>139000</v>
      </c>
      <c r="G28" s="4" t="n">
        <v>6250</v>
      </c>
      <c r="H28" s="8" t="s">
        <v>127</v>
      </c>
      <c r="I28" s="8" t="s">
        <v>276</v>
      </c>
      <c r="J28" s="4" t="s">
        <v>277</v>
      </c>
      <c r="K28" s="8" t="s">
        <v>278</v>
      </c>
      <c r="L28" s="8" t="s">
        <v>320</v>
      </c>
      <c r="M28" s="4" t="s">
        <v>904</v>
      </c>
    </row>
    <row r="29" customFormat="false" ht="15" hidden="false" customHeight="false" outlineLevel="0" collapsed="false">
      <c r="A29" s="4" t="n">
        <v>30</v>
      </c>
      <c r="B29" s="4" t="s">
        <v>905</v>
      </c>
      <c r="C29" s="8" t="s">
        <v>282</v>
      </c>
      <c r="D29" s="8" t="s">
        <v>283</v>
      </c>
      <c r="E29" s="4" t="n">
        <v>2021</v>
      </c>
      <c r="F29" s="9" t="n">
        <v>76800</v>
      </c>
      <c r="G29" s="4" t="n">
        <v>38400</v>
      </c>
      <c r="H29" s="8" t="s">
        <v>81</v>
      </c>
      <c r="I29" s="8" t="s">
        <v>287</v>
      </c>
      <c r="J29" s="4" t="s">
        <v>906</v>
      </c>
      <c r="K29" s="8" t="s">
        <v>289</v>
      </c>
      <c r="L29" s="8" t="s">
        <v>237</v>
      </c>
      <c r="M29" s="4" t="s">
        <v>907</v>
      </c>
    </row>
    <row r="30" customFormat="false" ht="15" hidden="false" customHeight="false" outlineLevel="0" collapsed="false">
      <c r="A30" s="4" t="n">
        <v>31</v>
      </c>
      <c r="B30" s="7" t="s">
        <v>844</v>
      </c>
      <c r="C30" s="8" t="s">
        <v>292</v>
      </c>
      <c r="D30" s="8" t="s">
        <v>293</v>
      </c>
      <c r="E30" s="4" t="n">
        <v>2024</v>
      </c>
      <c r="F30" s="9" t="n">
        <v>173600</v>
      </c>
      <c r="G30" s="4" t="n">
        <v>400</v>
      </c>
      <c r="H30" s="8" t="s">
        <v>370</v>
      </c>
      <c r="I30" s="8" t="s">
        <v>297</v>
      </c>
      <c r="J30" s="4" t="s">
        <v>908</v>
      </c>
      <c r="K30" s="8" t="s">
        <v>299</v>
      </c>
      <c r="L30" s="8" t="s">
        <v>61</v>
      </c>
      <c r="M30" s="4"/>
    </row>
    <row r="31" customFormat="false" ht="15" hidden="false" customHeight="false" outlineLevel="0" collapsed="false">
      <c r="A31" s="4" t="n">
        <v>32</v>
      </c>
      <c r="B31" s="4" t="s">
        <v>909</v>
      </c>
      <c r="C31" s="8" t="s">
        <v>302</v>
      </c>
      <c r="D31" s="8" t="s">
        <v>303</v>
      </c>
      <c r="E31" s="4" t="n">
        <v>2022</v>
      </c>
      <c r="F31" s="9" t="n">
        <v>119900</v>
      </c>
      <c r="G31" s="4" t="n">
        <v>13600</v>
      </c>
      <c r="H31" s="8" t="s">
        <v>855</v>
      </c>
      <c r="I31" s="8" t="s">
        <v>910</v>
      </c>
      <c r="J31" s="4" t="s">
        <v>911</v>
      </c>
      <c r="K31" s="8" t="s">
        <v>912</v>
      </c>
      <c r="L31" s="8" t="s">
        <v>237</v>
      </c>
      <c r="M31" s="4" t="s">
        <v>913</v>
      </c>
    </row>
    <row r="32" customFormat="false" ht="15" hidden="false" customHeight="false" outlineLevel="0" collapsed="false">
      <c r="A32" s="4" t="n">
        <v>33</v>
      </c>
      <c r="B32" s="4" t="s">
        <v>914</v>
      </c>
      <c r="C32" s="8" t="s">
        <v>313</v>
      </c>
      <c r="D32" s="8" t="s">
        <v>314</v>
      </c>
      <c r="E32" s="4" t="n">
        <v>2023</v>
      </c>
      <c r="F32" s="9" t="n">
        <v>109250</v>
      </c>
      <c r="G32" s="4" t="n">
        <v>8900</v>
      </c>
      <c r="H32" s="8" t="s">
        <v>866</v>
      </c>
      <c r="I32" s="8" t="s">
        <v>318</v>
      </c>
      <c r="J32" s="4" t="s">
        <v>257</v>
      </c>
      <c r="K32" s="8" t="s">
        <v>319</v>
      </c>
      <c r="L32" s="8" t="s">
        <v>320</v>
      </c>
      <c r="M32" s="4" t="s">
        <v>913</v>
      </c>
    </row>
    <row r="33" customFormat="false" ht="15" hidden="false" customHeight="false" outlineLevel="0" collapsed="false">
      <c r="A33" s="4" t="n">
        <v>34</v>
      </c>
      <c r="B33" s="4" t="s">
        <v>915</v>
      </c>
      <c r="C33" s="8" t="s">
        <v>323</v>
      </c>
      <c r="D33" s="8" t="s">
        <v>324</v>
      </c>
      <c r="E33" s="4" t="n">
        <v>2022</v>
      </c>
      <c r="F33" s="9" t="n">
        <v>82000</v>
      </c>
      <c r="G33" s="4" t="n">
        <v>21750</v>
      </c>
      <c r="H33" s="8" t="s">
        <v>370</v>
      </c>
      <c r="I33" s="8" t="s">
        <v>328</v>
      </c>
      <c r="J33" s="4" t="s">
        <v>83</v>
      </c>
      <c r="K33" s="8" t="s">
        <v>330</v>
      </c>
      <c r="L33" s="8" t="s">
        <v>237</v>
      </c>
      <c r="M33" s="4" t="s">
        <v>916</v>
      </c>
    </row>
    <row r="34" customFormat="false" ht="15" hidden="false" customHeight="false" outlineLevel="0" collapsed="false">
      <c r="A34" s="4" t="n">
        <v>35</v>
      </c>
      <c r="B34" s="4" t="s">
        <v>917</v>
      </c>
      <c r="C34" s="8" t="s">
        <v>333</v>
      </c>
      <c r="D34" s="8" t="s">
        <v>334</v>
      </c>
      <c r="E34" s="4" t="n">
        <v>2025</v>
      </c>
      <c r="F34" s="9" t="n">
        <v>214000</v>
      </c>
      <c r="G34" s="4" t="n">
        <v>0</v>
      </c>
      <c r="H34" s="8" t="s">
        <v>882</v>
      </c>
      <c r="I34" s="8" t="s">
        <v>105</v>
      </c>
      <c r="J34" s="4" t="s">
        <v>106</v>
      </c>
      <c r="K34" s="8" t="s">
        <v>340</v>
      </c>
      <c r="L34" s="8" t="s">
        <v>918</v>
      </c>
      <c r="M34" s="4" t="s">
        <v>919</v>
      </c>
    </row>
    <row r="35" customFormat="false" ht="15" hidden="false" customHeight="false" outlineLevel="0" collapsed="false">
      <c r="A35" s="4" t="n">
        <v>36</v>
      </c>
      <c r="B35" s="7" t="s">
        <v>844</v>
      </c>
      <c r="C35" s="8" t="s">
        <v>344</v>
      </c>
      <c r="D35" s="8" t="s">
        <v>345</v>
      </c>
      <c r="E35" s="4" t="n">
        <v>2024</v>
      </c>
      <c r="F35" s="9" t="n">
        <v>124500</v>
      </c>
      <c r="G35" s="4" t="n">
        <v>4800</v>
      </c>
      <c r="H35" s="8" t="s">
        <v>81</v>
      </c>
      <c r="I35" s="8" t="s">
        <v>920</v>
      </c>
      <c r="J35" s="4" t="s">
        <v>83</v>
      </c>
      <c r="K35" s="8" t="s">
        <v>921</v>
      </c>
      <c r="L35" s="8" t="s">
        <v>237</v>
      </c>
      <c r="M35" s="4"/>
    </row>
    <row r="36" customFormat="false" ht="15" hidden="false" customHeight="false" outlineLevel="0" collapsed="false">
      <c r="A36" s="4" t="n">
        <v>37</v>
      </c>
      <c r="B36" s="4" t="s">
        <v>922</v>
      </c>
      <c r="C36" s="8" t="s">
        <v>352</v>
      </c>
      <c r="D36" s="8" t="s">
        <v>218</v>
      </c>
      <c r="E36" s="4" t="n">
        <v>2023</v>
      </c>
      <c r="F36" s="9" t="n">
        <v>98200</v>
      </c>
      <c r="G36" s="4" t="n">
        <v>12200</v>
      </c>
      <c r="H36" s="8" t="s">
        <v>189</v>
      </c>
      <c r="I36" s="8" t="s">
        <v>356</v>
      </c>
      <c r="J36" s="4" t="s">
        <v>106</v>
      </c>
      <c r="K36" s="8" t="s">
        <v>923</v>
      </c>
      <c r="L36" s="8" t="s">
        <v>61</v>
      </c>
      <c r="M36" s="4" t="s">
        <v>919</v>
      </c>
    </row>
    <row r="37" customFormat="false" ht="15" hidden="false" customHeight="false" outlineLevel="0" collapsed="false">
      <c r="A37" s="4" t="n">
        <v>38</v>
      </c>
      <c r="B37" s="4" t="s">
        <v>924</v>
      </c>
      <c r="C37" s="8" t="s">
        <v>925</v>
      </c>
      <c r="D37" s="8" t="s">
        <v>186</v>
      </c>
      <c r="E37" s="4" t="n">
        <v>2022</v>
      </c>
      <c r="F37" s="9" t="n">
        <v>67500</v>
      </c>
      <c r="G37" s="4" t="n">
        <v>24100</v>
      </c>
      <c r="H37" s="8" t="s">
        <v>127</v>
      </c>
      <c r="I37" s="8" t="s">
        <v>926</v>
      </c>
      <c r="J37" s="4" t="s">
        <v>908</v>
      </c>
      <c r="K37" s="8" t="s">
        <v>364</v>
      </c>
      <c r="L37" s="8" t="s">
        <v>237</v>
      </c>
      <c r="M37" s="4" t="s">
        <v>927</v>
      </c>
    </row>
    <row r="38" customFormat="false" ht="15" hidden="false" customHeight="false" outlineLevel="0" collapsed="false">
      <c r="A38" s="4" t="n">
        <v>39</v>
      </c>
      <c r="B38" s="4" t="s">
        <v>928</v>
      </c>
      <c r="C38" s="8" t="s">
        <v>367</v>
      </c>
      <c r="D38" s="8" t="s">
        <v>368</v>
      </c>
      <c r="E38" s="4" t="n">
        <v>2025</v>
      </c>
      <c r="F38" s="9" t="n">
        <v>116900</v>
      </c>
      <c r="G38" s="4" t="n">
        <v>0</v>
      </c>
      <c r="H38" s="8" t="s">
        <v>370</v>
      </c>
      <c r="I38" s="8" t="s">
        <v>371</v>
      </c>
      <c r="J38" s="4" t="s">
        <v>929</v>
      </c>
      <c r="K38" s="8" t="s">
        <v>930</v>
      </c>
      <c r="L38" s="8" t="s">
        <v>320</v>
      </c>
      <c r="M38" s="4" t="s">
        <v>927</v>
      </c>
    </row>
    <row r="39" customFormat="false" ht="15" hidden="false" customHeight="false" outlineLevel="0" collapsed="false">
      <c r="A39" s="4" t="n">
        <v>40</v>
      </c>
      <c r="B39" s="4" t="s">
        <v>931</v>
      </c>
      <c r="C39" s="8" t="s">
        <v>376</v>
      </c>
      <c r="D39" s="8" t="s">
        <v>377</v>
      </c>
      <c r="E39" s="4" t="n">
        <v>2024</v>
      </c>
      <c r="F39" s="9" t="n">
        <v>112000</v>
      </c>
      <c r="G39" s="4" t="n">
        <v>10</v>
      </c>
      <c r="H39" s="8" t="s">
        <v>855</v>
      </c>
      <c r="I39" s="8" t="s">
        <v>381</v>
      </c>
      <c r="J39" s="4" t="s">
        <v>382</v>
      </c>
      <c r="K39" s="8" t="s">
        <v>383</v>
      </c>
      <c r="L39" s="8" t="s">
        <v>237</v>
      </c>
      <c r="M39" s="4" t="s">
        <v>927</v>
      </c>
    </row>
    <row r="40" customFormat="false" ht="15" hidden="false" customHeight="false" outlineLevel="0" collapsed="false">
      <c r="A40" s="4" t="n">
        <v>41</v>
      </c>
      <c r="B40" s="4" t="s">
        <v>932</v>
      </c>
      <c r="C40" s="8" t="s">
        <v>386</v>
      </c>
      <c r="D40" s="8" t="s">
        <v>112</v>
      </c>
      <c r="E40" s="4" t="n">
        <v>2021</v>
      </c>
      <c r="F40" s="9" t="n">
        <v>74000</v>
      </c>
      <c r="G40" s="4" t="n">
        <v>31000</v>
      </c>
      <c r="H40" s="8" t="s">
        <v>872</v>
      </c>
      <c r="I40" s="8" t="s">
        <v>933</v>
      </c>
      <c r="J40" s="4" t="s">
        <v>934</v>
      </c>
      <c r="K40" s="8" t="s">
        <v>391</v>
      </c>
      <c r="L40" s="8" t="s">
        <v>863</v>
      </c>
      <c r="M40" s="4" t="s">
        <v>891</v>
      </c>
    </row>
    <row r="41" customFormat="false" ht="15" hidden="false" customHeight="false" outlineLevel="0" collapsed="false">
      <c r="A41" s="4" t="n">
        <v>42</v>
      </c>
      <c r="B41" s="4" t="s">
        <v>935</v>
      </c>
      <c r="C41" s="8" t="s">
        <v>394</v>
      </c>
      <c r="D41" s="8" t="s">
        <v>395</v>
      </c>
      <c r="E41" s="4" t="n">
        <v>2024</v>
      </c>
      <c r="F41" s="9" t="n">
        <v>198300</v>
      </c>
      <c r="G41" s="4" t="n">
        <v>2400</v>
      </c>
      <c r="H41" s="8" t="s">
        <v>370</v>
      </c>
      <c r="I41" s="8" t="s">
        <v>398</v>
      </c>
      <c r="J41" s="4" t="s">
        <v>936</v>
      </c>
      <c r="K41" s="8" t="s">
        <v>937</v>
      </c>
      <c r="L41" s="8" t="s">
        <v>883</v>
      </c>
      <c r="M41" s="4" t="s">
        <v>938</v>
      </c>
    </row>
    <row r="42" customFormat="false" ht="15" hidden="false" customHeight="false" outlineLevel="0" collapsed="false">
      <c r="A42" s="4" t="n">
        <v>43</v>
      </c>
      <c r="B42" s="7" t="s">
        <v>844</v>
      </c>
      <c r="C42" s="8" t="s">
        <v>403</v>
      </c>
      <c r="D42" s="8" t="s">
        <v>41</v>
      </c>
      <c r="E42" s="4" t="n">
        <v>2023</v>
      </c>
      <c r="F42" s="9" t="n">
        <v>103750</v>
      </c>
      <c r="G42" s="4" t="n">
        <v>6773</v>
      </c>
      <c r="H42" s="8" t="s">
        <v>370</v>
      </c>
      <c r="I42" s="8" t="s">
        <v>406</v>
      </c>
      <c r="J42" s="4" t="s">
        <v>407</v>
      </c>
      <c r="K42" s="8" t="s">
        <v>408</v>
      </c>
      <c r="L42" s="8" t="s">
        <v>870</v>
      </c>
      <c r="M42" s="4"/>
    </row>
    <row r="43" customFormat="false" ht="15" hidden="false" customHeight="false" outlineLevel="0" collapsed="false">
      <c r="A43" s="4" t="n">
        <v>44</v>
      </c>
      <c r="B43" s="7" t="s">
        <v>844</v>
      </c>
      <c r="C43" s="8" t="s">
        <v>411</v>
      </c>
      <c r="D43" s="8" t="s">
        <v>124</v>
      </c>
      <c r="E43" s="4" t="n">
        <v>2024</v>
      </c>
      <c r="F43" s="9" t="n">
        <v>93600</v>
      </c>
      <c r="G43" s="4" t="n">
        <v>5800</v>
      </c>
      <c r="H43" s="8" t="s">
        <v>127</v>
      </c>
      <c r="I43" s="8" t="s">
        <v>939</v>
      </c>
      <c r="J43" s="4" t="s">
        <v>106</v>
      </c>
      <c r="K43" s="8" t="s">
        <v>415</v>
      </c>
      <c r="L43" s="8" t="s">
        <v>874</v>
      </c>
      <c r="M43" s="4"/>
    </row>
    <row r="44" customFormat="false" ht="15" hidden="false" customHeight="false" outlineLevel="0" collapsed="false">
      <c r="A44" s="4" t="n">
        <v>45</v>
      </c>
      <c r="B44" s="4" t="s">
        <v>940</v>
      </c>
      <c r="C44" s="8" t="s">
        <v>418</v>
      </c>
      <c r="D44" s="8" t="s">
        <v>65</v>
      </c>
      <c r="E44" s="4" t="n">
        <v>2025</v>
      </c>
      <c r="F44" s="9" t="n">
        <v>129000</v>
      </c>
      <c r="G44" s="4" t="n">
        <v>0</v>
      </c>
      <c r="H44" s="8" t="s">
        <v>878</v>
      </c>
      <c r="I44" s="8" t="s">
        <v>420</v>
      </c>
      <c r="J44" s="4" t="s">
        <v>421</v>
      </c>
      <c r="K44" s="8" t="s">
        <v>422</v>
      </c>
      <c r="L44" s="8" t="s">
        <v>320</v>
      </c>
      <c r="M44" s="4" t="s">
        <v>941</v>
      </c>
    </row>
    <row r="45" customFormat="false" ht="15" hidden="false" customHeight="false" outlineLevel="0" collapsed="false">
      <c r="A45" s="4" t="n">
        <v>46</v>
      </c>
      <c r="B45" s="4" t="s">
        <v>942</v>
      </c>
      <c r="C45" s="8" t="s">
        <v>425</v>
      </c>
      <c r="D45" s="8" t="s">
        <v>426</v>
      </c>
      <c r="E45" s="4" t="n">
        <v>2022</v>
      </c>
      <c r="F45" s="9" t="n">
        <v>136000</v>
      </c>
      <c r="G45" s="4" t="n">
        <v>18400</v>
      </c>
      <c r="H45" s="8" t="s">
        <v>81</v>
      </c>
      <c r="I45" s="8" t="s">
        <v>943</v>
      </c>
      <c r="J45" s="4" t="s">
        <v>856</v>
      </c>
      <c r="K45" s="8" t="s">
        <v>944</v>
      </c>
      <c r="L45" s="8" t="s">
        <v>237</v>
      </c>
      <c r="M45" s="4" t="s">
        <v>941</v>
      </c>
    </row>
    <row r="46" customFormat="false" ht="15" hidden="false" customHeight="false" outlineLevel="0" collapsed="false">
      <c r="A46" s="4" t="n">
        <v>47</v>
      </c>
      <c r="B46" s="7" t="s">
        <v>844</v>
      </c>
      <c r="C46" s="8" t="s">
        <v>434</v>
      </c>
      <c r="D46" s="8" t="s">
        <v>435</v>
      </c>
      <c r="E46" s="4" t="n">
        <v>2024</v>
      </c>
      <c r="F46" s="9" t="n">
        <v>286500</v>
      </c>
      <c r="G46" s="4" t="n">
        <v>700</v>
      </c>
      <c r="H46" s="8" t="s">
        <v>370</v>
      </c>
      <c r="I46" s="8" t="s">
        <v>438</v>
      </c>
      <c r="J46" s="4" t="s">
        <v>257</v>
      </c>
      <c r="K46" s="8" t="s">
        <v>945</v>
      </c>
      <c r="L46" s="8" t="s">
        <v>61</v>
      </c>
      <c r="M46" s="4"/>
    </row>
    <row r="47" customFormat="false" ht="15" hidden="false" customHeight="false" outlineLevel="0" collapsed="false">
      <c r="A47" s="4" t="n">
        <v>48</v>
      </c>
      <c r="B47" s="4" t="s">
        <v>946</v>
      </c>
      <c r="C47" s="8" t="s">
        <v>442</v>
      </c>
      <c r="D47" s="8" t="s">
        <v>101</v>
      </c>
      <c r="E47" s="4" t="n">
        <v>2023</v>
      </c>
      <c r="F47" s="9" t="n">
        <v>92800</v>
      </c>
      <c r="G47" s="4" t="n">
        <v>15000</v>
      </c>
      <c r="H47" s="8" t="s">
        <v>866</v>
      </c>
      <c r="I47" s="8" t="s">
        <v>445</v>
      </c>
      <c r="J47" s="4" t="s">
        <v>106</v>
      </c>
      <c r="K47" s="8" t="s">
        <v>446</v>
      </c>
      <c r="L47" s="8" t="s">
        <v>237</v>
      </c>
      <c r="M47" s="4" t="s">
        <v>947</v>
      </c>
    </row>
    <row r="48" customFormat="false" ht="15" hidden="false" customHeight="false" outlineLevel="0" collapsed="false">
      <c r="A48" s="4" t="n">
        <v>49</v>
      </c>
      <c r="B48" s="4" t="s">
        <v>948</v>
      </c>
      <c r="C48" s="8" t="s">
        <v>449</v>
      </c>
      <c r="D48" s="8" t="s">
        <v>324</v>
      </c>
      <c r="E48" s="4" t="n">
        <v>2022</v>
      </c>
      <c r="F48" s="9" t="n">
        <v>72400</v>
      </c>
      <c r="G48" s="4" t="n">
        <v>19750</v>
      </c>
      <c r="H48" s="8" t="s">
        <v>855</v>
      </c>
      <c r="I48" s="8" t="s">
        <v>452</v>
      </c>
      <c r="J48" s="4" t="s">
        <v>407</v>
      </c>
      <c r="K48" s="8" t="s">
        <v>453</v>
      </c>
      <c r="L48" s="8" t="s">
        <v>902</v>
      </c>
      <c r="M48" s="4" t="s">
        <v>947</v>
      </c>
    </row>
    <row r="49" customFormat="false" ht="15" hidden="false" customHeight="false" outlineLevel="0" collapsed="false">
      <c r="A49" s="4" t="n">
        <v>50</v>
      </c>
      <c r="B49" s="4" t="s">
        <v>949</v>
      </c>
      <c r="C49" s="8" t="s">
        <v>456</v>
      </c>
      <c r="D49" s="8" t="s">
        <v>135</v>
      </c>
      <c r="E49" s="4" t="n">
        <v>2025</v>
      </c>
      <c r="F49" s="9" t="n">
        <v>158500</v>
      </c>
      <c r="G49" s="4" t="n">
        <v>3200</v>
      </c>
      <c r="H49" s="8" t="s">
        <v>882</v>
      </c>
      <c r="I49" s="8" t="s">
        <v>460</v>
      </c>
      <c r="J49" s="4" t="s">
        <v>461</v>
      </c>
      <c r="K49" s="8" t="s">
        <v>950</v>
      </c>
      <c r="L49" s="8" t="s">
        <v>237</v>
      </c>
      <c r="M49" s="4" t="s">
        <v>947</v>
      </c>
    </row>
    <row r="50" customFormat="false" ht="15" hidden="false" customHeight="false" outlineLevel="0" collapsed="false">
      <c r="A50" s="4" t="n">
        <v>51</v>
      </c>
      <c r="B50" s="4" t="s">
        <v>951</v>
      </c>
      <c r="C50" s="8" t="s">
        <v>465</v>
      </c>
      <c r="D50" s="8" t="s">
        <v>17</v>
      </c>
      <c r="E50" s="4" t="n">
        <v>2021</v>
      </c>
      <c r="F50" s="9" t="n">
        <v>69900</v>
      </c>
      <c r="G50" s="4" t="n">
        <v>27600</v>
      </c>
      <c r="H50" s="8" t="s">
        <v>189</v>
      </c>
      <c r="I50" s="8" t="s">
        <v>952</v>
      </c>
      <c r="J50" s="4" t="s">
        <v>106</v>
      </c>
      <c r="K50" s="8" t="s">
        <v>469</v>
      </c>
      <c r="L50" s="8" t="s">
        <v>61</v>
      </c>
      <c r="M50" s="4" t="s">
        <v>953</v>
      </c>
    </row>
    <row r="51" customFormat="false" ht="15" hidden="false" customHeight="false" outlineLevel="0" collapsed="false">
      <c r="A51" s="4" t="n">
        <v>52</v>
      </c>
      <c r="B51" s="7" t="s">
        <v>844</v>
      </c>
      <c r="C51" s="8" t="s">
        <v>472</v>
      </c>
      <c r="D51" s="8" t="s">
        <v>473</v>
      </c>
      <c r="E51" s="4" t="n">
        <v>2024</v>
      </c>
      <c r="F51" s="9" t="n">
        <v>141250</v>
      </c>
      <c r="G51" s="4" t="n">
        <v>2100</v>
      </c>
      <c r="H51" s="8" t="s">
        <v>127</v>
      </c>
      <c r="I51" s="8" t="s">
        <v>476</v>
      </c>
      <c r="J51" s="4" t="s">
        <v>106</v>
      </c>
      <c r="K51" s="8" t="s">
        <v>954</v>
      </c>
      <c r="L51" s="8" t="s">
        <v>320</v>
      </c>
      <c r="M51" s="4"/>
    </row>
    <row r="52" customFormat="false" ht="15" hidden="false" customHeight="false" outlineLevel="0" collapsed="false">
      <c r="A52" s="4" t="n">
        <v>53</v>
      </c>
      <c r="B52" s="4" t="s">
        <v>955</v>
      </c>
      <c r="C52" s="8" t="s">
        <v>480</v>
      </c>
      <c r="D52" s="8" t="s">
        <v>241</v>
      </c>
      <c r="E52" s="4" t="n">
        <v>2020</v>
      </c>
      <c r="F52" s="9" t="n">
        <v>71500</v>
      </c>
      <c r="G52" s="4" t="n">
        <v>52000</v>
      </c>
      <c r="H52" s="8" t="s">
        <v>370</v>
      </c>
      <c r="I52" s="8" t="s">
        <v>483</v>
      </c>
      <c r="J52" s="4" t="s">
        <v>484</v>
      </c>
      <c r="K52" s="8" t="s">
        <v>485</v>
      </c>
      <c r="L52" s="8" t="s">
        <v>237</v>
      </c>
      <c r="M52" s="4" t="s">
        <v>953</v>
      </c>
    </row>
    <row r="53" customFormat="false" ht="15" hidden="false" customHeight="false" outlineLevel="0" collapsed="false">
      <c r="A53" s="4" t="n">
        <v>54</v>
      </c>
      <c r="B53" s="4" t="s">
        <v>956</v>
      </c>
      <c r="C53" s="8" t="s">
        <v>488</v>
      </c>
      <c r="D53" s="8" t="s">
        <v>489</v>
      </c>
      <c r="E53" s="4" t="n">
        <v>2023</v>
      </c>
      <c r="F53" s="9" t="n">
        <v>146800</v>
      </c>
      <c r="G53" s="4" t="n">
        <v>11300</v>
      </c>
      <c r="H53" s="8" t="s">
        <v>81</v>
      </c>
      <c r="I53" s="8" t="s">
        <v>493</v>
      </c>
      <c r="J53" s="4" t="s">
        <v>957</v>
      </c>
      <c r="K53" s="8" t="s">
        <v>495</v>
      </c>
      <c r="L53" s="8" t="s">
        <v>61</v>
      </c>
      <c r="M53" s="4" t="s">
        <v>953</v>
      </c>
    </row>
    <row r="54" customFormat="false" ht="15" hidden="false" customHeight="false" outlineLevel="0" collapsed="false">
      <c r="A54" s="4" t="n">
        <v>55</v>
      </c>
      <c r="B54" s="4" t="s">
        <v>958</v>
      </c>
      <c r="C54" s="8" t="s">
        <v>498</v>
      </c>
      <c r="D54" s="8" t="s">
        <v>252</v>
      </c>
      <c r="E54" s="4" t="n">
        <v>2025</v>
      </c>
      <c r="F54" s="9" t="n">
        <v>89700</v>
      </c>
      <c r="G54" s="4" t="n">
        <v>0</v>
      </c>
      <c r="H54" s="8" t="s">
        <v>866</v>
      </c>
      <c r="I54" s="8" t="s">
        <v>959</v>
      </c>
      <c r="J54" s="4" t="s">
        <v>960</v>
      </c>
      <c r="K54" s="8" t="s">
        <v>502</v>
      </c>
      <c r="L54" s="8" t="s">
        <v>237</v>
      </c>
      <c r="M54" s="4" t="s">
        <v>961</v>
      </c>
    </row>
    <row r="55" customFormat="false" ht="15" hidden="false" customHeight="false" outlineLevel="0" collapsed="false">
      <c r="A55" s="4" t="n">
        <v>56</v>
      </c>
      <c r="B55" s="4" t="s">
        <v>962</v>
      </c>
      <c r="C55" s="8" t="s">
        <v>505</v>
      </c>
      <c r="D55" s="8" t="s">
        <v>89</v>
      </c>
      <c r="E55" s="4" t="n">
        <v>2022</v>
      </c>
      <c r="F55" s="9" t="n">
        <v>104600</v>
      </c>
      <c r="G55" s="4" t="n">
        <v>15900</v>
      </c>
      <c r="H55" s="8" t="s">
        <v>189</v>
      </c>
      <c r="I55" s="8" t="s">
        <v>508</v>
      </c>
      <c r="J55" s="4" t="s">
        <v>509</v>
      </c>
      <c r="K55" s="8" t="s">
        <v>510</v>
      </c>
      <c r="L55" s="8" t="s">
        <v>863</v>
      </c>
      <c r="M55" s="4" t="s">
        <v>961</v>
      </c>
    </row>
    <row r="56" customFormat="false" ht="15" hidden="false" customHeight="false" outlineLevel="0" collapsed="false">
      <c r="A56" s="4" t="n">
        <v>57</v>
      </c>
      <c r="B56" s="7" t="s">
        <v>844</v>
      </c>
      <c r="C56" s="8" t="s">
        <v>513</v>
      </c>
      <c r="D56" s="8" t="s">
        <v>272</v>
      </c>
      <c r="E56" s="4" t="n">
        <v>2024</v>
      </c>
      <c r="F56" s="9" t="n">
        <v>142000</v>
      </c>
      <c r="G56" s="4" t="n">
        <v>6600</v>
      </c>
      <c r="H56" s="8" t="s">
        <v>370</v>
      </c>
      <c r="I56" s="8" t="s">
        <v>516</v>
      </c>
      <c r="J56" s="4" t="s">
        <v>106</v>
      </c>
      <c r="K56" s="8" t="s">
        <v>258</v>
      </c>
      <c r="L56" s="8" t="s">
        <v>237</v>
      </c>
      <c r="M56" s="4"/>
    </row>
    <row r="57" customFormat="false" ht="15" hidden="false" customHeight="false" outlineLevel="0" collapsed="false">
      <c r="A57" s="4" t="n">
        <v>58</v>
      </c>
      <c r="B57" s="4" t="s">
        <v>963</v>
      </c>
      <c r="C57" s="8" t="s">
        <v>519</v>
      </c>
      <c r="D57" s="8" t="s">
        <v>283</v>
      </c>
      <c r="E57" s="4" t="n">
        <v>2021</v>
      </c>
      <c r="F57" s="9" t="n">
        <v>78400</v>
      </c>
      <c r="G57" s="4" t="n">
        <v>40250</v>
      </c>
      <c r="H57" s="8" t="s">
        <v>855</v>
      </c>
      <c r="I57" s="8" t="s">
        <v>522</v>
      </c>
      <c r="J57" s="4" t="s">
        <v>148</v>
      </c>
      <c r="K57" s="8" t="s">
        <v>524</v>
      </c>
      <c r="L57" s="8" t="s">
        <v>964</v>
      </c>
      <c r="M57" s="4" t="s">
        <v>965</v>
      </c>
    </row>
    <row r="58" customFormat="false" ht="15" hidden="false" customHeight="false" outlineLevel="0" collapsed="false">
      <c r="A58" s="4" t="n">
        <v>59</v>
      </c>
      <c r="B58" s="7" t="s">
        <v>844</v>
      </c>
      <c r="C58" s="8" t="s">
        <v>528</v>
      </c>
      <c r="D58" s="8" t="s">
        <v>196</v>
      </c>
      <c r="E58" s="4" t="n">
        <v>2025</v>
      </c>
      <c r="F58" s="9" t="n">
        <v>169000</v>
      </c>
      <c r="G58" s="4" t="n">
        <v>850</v>
      </c>
      <c r="H58" s="8" t="s">
        <v>127</v>
      </c>
      <c r="I58" s="8" t="s">
        <v>531</v>
      </c>
      <c r="J58" s="4" t="s">
        <v>532</v>
      </c>
      <c r="K58" s="8" t="s">
        <v>966</v>
      </c>
      <c r="L58" s="8" t="s">
        <v>320</v>
      </c>
      <c r="M58" s="4"/>
    </row>
    <row r="59" customFormat="false" ht="15" hidden="false" customHeight="false" outlineLevel="0" collapsed="false">
      <c r="A59" s="4" t="n">
        <v>60</v>
      </c>
      <c r="B59" s="4" t="s">
        <v>967</v>
      </c>
      <c r="C59" s="8" t="s">
        <v>536</v>
      </c>
      <c r="D59" s="8" t="s">
        <v>261</v>
      </c>
      <c r="E59" s="4" t="n">
        <v>2024</v>
      </c>
      <c r="F59" s="9" t="n">
        <v>268900</v>
      </c>
      <c r="G59" s="4" t="n">
        <v>1400</v>
      </c>
      <c r="H59" s="8" t="s">
        <v>81</v>
      </c>
      <c r="I59" s="8" t="s">
        <v>539</v>
      </c>
      <c r="J59" s="4" t="s">
        <v>106</v>
      </c>
      <c r="K59" s="8" t="s">
        <v>540</v>
      </c>
      <c r="L59" s="8" t="s">
        <v>237</v>
      </c>
      <c r="M59" s="4" t="s">
        <v>965</v>
      </c>
    </row>
    <row r="60" customFormat="false" ht="15" hidden="false" customHeight="false" outlineLevel="0" collapsed="false">
      <c r="A60" s="4" t="n">
        <v>61</v>
      </c>
      <c r="B60" s="4" t="s">
        <v>968</v>
      </c>
      <c r="C60" s="8" t="s">
        <v>543</v>
      </c>
      <c r="D60" s="8" t="s">
        <v>77</v>
      </c>
      <c r="E60" s="4" t="n">
        <v>2023</v>
      </c>
      <c r="F60" s="9" t="n">
        <v>101300</v>
      </c>
      <c r="G60" s="4" t="n">
        <v>12700</v>
      </c>
      <c r="H60" s="8" t="s">
        <v>370</v>
      </c>
      <c r="I60" s="8" t="s">
        <v>546</v>
      </c>
      <c r="J60" s="4" t="s">
        <v>257</v>
      </c>
      <c r="K60" s="8" t="s">
        <v>547</v>
      </c>
      <c r="L60" s="8" t="s">
        <v>61</v>
      </c>
      <c r="M60" s="4" t="s">
        <v>965</v>
      </c>
    </row>
    <row r="61" customFormat="false" ht="15" hidden="false" customHeight="false" outlineLevel="0" collapsed="false">
      <c r="A61" s="4" t="n">
        <v>62</v>
      </c>
      <c r="B61" s="4" t="s">
        <v>969</v>
      </c>
      <c r="C61" s="8" t="s">
        <v>550</v>
      </c>
      <c r="D61" s="8" t="s">
        <v>53</v>
      </c>
      <c r="E61" s="4" t="n">
        <v>2021</v>
      </c>
      <c r="F61" s="9" t="n">
        <v>66750</v>
      </c>
      <c r="G61" s="4" t="n">
        <v>29800</v>
      </c>
      <c r="H61" s="8" t="s">
        <v>855</v>
      </c>
      <c r="I61" s="8" t="s">
        <v>554</v>
      </c>
      <c r="J61" s="4" t="s">
        <v>382</v>
      </c>
      <c r="K61" s="8" t="s">
        <v>970</v>
      </c>
      <c r="L61" s="8" t="s">
        <v>237</v>
      </c>
      <c r="M61" s="4" t="s">
        <v>971</v>
      </c>
    </row>
    <row r="62" customFormat="false" ht="15" hidden="false" customHeight="false" outlineLevel="0" collapsed="false">
      <c r="A62" s="4" t="n">
        <v>63</v>
      </c>
      <c r="B62" s="4" t="s">
        <v>972</v>
      </c>
      <c r="C62" s="8" t="s">
        <v>559</v>
      </c>
      <c r="D62" s="8" t="s">
        <v>207</v>
      </c>
      <c r="E62" s="4" t="n">
        <v>2024</v>
      </c>
      <c r="F62" s="9" t="n">
        <v>127900</v>
      </c>
      <c r="G62" s="4" t="n">
        <v>7500</v>
      </c>
      <c r="H62" s="8" t="s">
        <v>866</v>
      </c>
      <c r="I62" s="8" t="s">
        <v>562</v>
      </c>
      <c r="J62" s="4" t="s">
        <v>563</v>
      </c>
      <c r="K62" s="8" t="s">
        <v>564</v>
      </c>
      <c r="L62" s="8" t="s">
        <v>320</v>
      </c>
      <c r="M62" s="4" t="s">
        <v>971</v>
      </c>
    </row>
    <row r="63" customFormat="false" ht="15" hidden="false" customHeight="false" outlineLevel="0" collapsed="false">
      <c r="A63" s="4" t="n">
        <v>64</v>
      </c>
      <c r="B63" s="4" t="s">
        <v>973</v>
      </c>
      <c r="C63" s="8" t="s">
        <v>567</v>
      </c>
      <c r="D63" s="8" t="s">
        <v>165</v>
      </c>
      <c r="E63" s="4" t="n">
        <v>2025</v>
      </c>
      <c r="F63" s="9" t="n">
        <v>200000</v>
      </c>
      <c r="G63" s="4" t="n">
        <v>1950</v>
      </c>
      <c r="H63" s="8" t="s">
        <v>370</v>
      </c>
      <c r="I63" s="8" t="s">
        <v>570</v>
      </c>
      <c r="J63" s="4" t="s">
        <v>908</v>
      </c>
      <c r="K63" s="8" t="s">
        <v>571</v>
      </c>
      <c r="L63" s="8" t="s">
        <v>237</v>
      </c>
      <c r="M63" s="4" t="s">
        <v>971</v>
      </c>
    </row>
    <row r="64" customFormat="false" ht="15" hidden="false" customHeight="false" outlineLevel="0" collapsed="false">
      <c r="A64" s="4" t="n">
        <v>65</v>
      </c>
      <c r="B64" s="4" t="s">
        <v>974</v>
      </c>
      <c r="C64" s="8" t="s">
        <v>574</v>
      </c>
      <c r="D64" s="8" t="s">
        <v>176</v>
      </c>
      <c r="E64" s="4" t="n">
        <v>2023</v>
      </c>
      <c r="F64" s="9" t="n">
        <v>132000</v>
      </c>
      <c r="G64" s="4" t="n">
        <v>8800</v>
      </c>
      <c r="H64" s="8" t="s">
        <v>882</v>
      </c>
      <c r="I64" s="8" t="s">
        <v>577</v>
      </c>
      <c r="J64" s="4" t="s">
        <v>975</v>
      </c>
      <c r="K64" s="8" t="s">
        <v>579</v>
      </c>
      <c r="L64" s="8" t="s">
        <v>918</v>
      </c>
      <c r="M64" s="4" t="s">
        <v>976</v>
      </c>
    </row>
    <row r="65" customFormat="false" ht="15" hidden="false" customHeight="false" outlineLevel="0" collapsed="false">
      <c r="A65" s="4" t="n">
        <v>66</v>
      </c>
      <c r="B65" s="4" t="s">
        <v>977</v>
      </c>
      <c r="C65" s="8" t="s">
        <v>582</v>
      </c>
      <c r="D65" s="8" t="s">
        <v>293</v>
      </c>
      <c r="E65" s="4" t="n">
        <v>2024</v>
      </c>
      <c r="F65" s="9" t="n">
        <v>176400</v>
      </c>
      <c r="G65" s="4" t="n">
        <v>600</v>
      </c>
      <c r="H65" s="8" t="s">
        <v>81</v>
      </c>
      <c r="I65" s="8" t="s">
        <v>585</v>
      </c>
      <c r="J65" s="4" t="s">
        <v>257</v>
      </c>
      <c r="K65" s="8" t="s">
        <v>586</v>
      </c>
      <c r="L65" s="8" t="s">
        <v>237</v>
      </c>
      <c r="M65" s="4" t="s">
        <v>976</v>
      </c>
    </row>
    <row r="66" customFormat="false" ht="15" hidden="false" customHeight="false" outlineLevel="0" collapsed="false">
      <c r="A66" s="4" t="n">
        <v>67</v>
      </c>
      <c r="B66" s="7" t="s">
        <v>844</v>
      </c>
      <c r="C66" s="8" t="s">
        <v>589</v>
      </c>
      <c r="D66" s="8" t="s">
        <v>314</v>
      </c>
      <c r="E66" s="4" t="n">
        <v>2022</v>
      </c>
      <c r="F66" s="9" t="n">
        <v>108500</v>
      </c>
      <c r="G66" s="4" t="n">
        <v>16200</v>
      </c>
      <c r="H66" s="8" t="s">
        <v>189</v>
      </c>
      <c r="I66" s="8" t="s">
        <v>592</v>
      </c>
      <c r="J66" s="4" t="s">
        <v>617</v>
      </c>
      <c r="K66" s="8" t="s">
        <v>978</v>
      </c>
      <c r="L66" s="8" t="s">
        <v>863</v>
      </c>
      <c r="M66" s="4"/>
    </row>
    <row r="67" customFormat="false" ht="15" hidden="false" customHeight="false" outlineLevel="0" collapsed="false">
      <c r="A67" s="4" t="n">
        <v>68</v>
      </c>
      <c r="B67" s="4" t="s">
        <v>979</v>
      </c>
      <c r="C67" s="8" t="s">
        <v>597</v>
      </c>
      <c r="D67" s="8" t="s">
        <v>186</v>
      </c>
      <c r="E67" s="4" t="n">
        <v>2021</v>
      </c>
      <c r="F67" s="9" t="n">
        <v>59000</v>
      </c>
      <c r="G67" s="4" t="n">
        <v>36000</v>
      </c>
      <c r="H67" s="8" t="s">
        <v>127</v>
      </c>
      <c r="I67" s="8" t="s">
        <v>600</v>
      </c>
      <c r="J67" s="4" t="s">
        <v>277</v>
      </c>
      <c r="K67" s="8" t="s">
        <v>602</v>
      </c>
      <c r="L67" s="8" t="s">
        <v>883</v>
      </c>
      <c r="M67" s="4" t="s">
        <v>980</v>
      </c>
    </row>
    <row r="68" customFormat="false" ht="15" hidden="false" customHeight="false" outlineLevel="0" collapsed="false">
      <c r="A68" s="4" t="n">
        <v>69</v>
      </c>
      <c r="B68" s="4" t="s">
        <v>981</v>
      </c>
      <c r="C68" s="8" t="s">
        <v>605</v>
      </c>
      <c r="D68" s="8" t="s">
        <v>334</v>
      </c>
      <c r="E68" s="4" t="n">
        <v>2025</v>
      </c>
      <c r="F68" s="9" t="n">
        <v>218000</v>
      </c>
      <c r="G68" s="4" t="n">
        <v>0</v>
      </c>
      <c r="H68" s="8" t="s">
        <v>370</v>
      </c>
      <c r="I68" s="8" t="s">
        <v>608</v>
      </c>
      <c r="J68" s="4" t="s">
        <v>934</v>
      </c>
      <c r="K68" s="8" t="s">
        <v>982</v>
      </c>
      <c r="L68" s="8" t="s">
        <v>61</v>
      </c>
      <c r="M68" s="4" t="s">
        <v>980</v>
      </c>
    </row>
    <row r="69" customFormat="false" ht="15" hidden="false" customHeight="false" outlineLevel="0" collapsed="false">
      <c r="A69" s="4" t="n">
        <v>70</v>
      </c>
      <c r="B69" s="7" t="s">
        <v>844</v>
      </c>
      <c r="C69" s="8" t="s">
        <v>613</v>
      </c>
      <c r="D69" s="8" t="s">
        <v>218</v>
      </c>
      <c r="E69" s="4" t="n">
        <v>2024</v>
      </c>
      <c r="F69" s="9" t="n">
        <v>99950</v>
      </c>
      <c r="G69" s="4" t="n">
        <v>5300</v>
      </c>
      <c r="H69" s="8" t="s">
        <v>872</v>
      </c>
      <c r="I69" s="8" t="s">
        <v>616</v>
      </c>
      <c r="J69" s="4" t="s">
        <v>617</v>
      </c>
      <c r="K69" s="8" t="s">
        <v>618</v>
      </c>
      <c r="L69" s="8" t="s">
        <v>237</v>
      </c>
      <c r="M69" s="4"/>
    </row>
    <row r="70" customFormat="false" ht="15" hidden="false" customHeight="false" outlineLevel="0" collapsed="false">
      <c r="A70" s="4" t="n">
        <v>71</v>
      </c>
      <c r="B70" s="4" t="s">
        <v>963</v>
      </c>
      <c r="C70" s="8" t="s">
        <v>620</v>
      </c>
      <c r="D70" s="8" t="s">
        <v>303</v>
      </c>
      <c r="E70" s="4" t="n">
        <v>2024</v>
      </c>
      <c r="F70" s="9" t="n">
        <v>121750</v>
      </c>
      <c r="G70" s="4" t="n">
        <v>5872</v>
      </c>
      <c r="H70" s="8" t="s">
        <v>81</v>
      </c>
      <c r="I70" s="8" t="s">
        <v>983</v>
      </c>
      <c r="J70" s="4" t="s">
        <v>407</v>
      </c>
      <c r="K70" s="8" t="s">
        <v>625</v>
      </c>
      <c r="L70" s="8" t="s">
        <v>237</v>
      </c>
      <c r="M70" s="4" t="s">
        <v>965</v>
      </c>
    </row>
    <row r="71" customFormat="false" ht="15" hidden="false" customHeight="false" outlineLevel="0" collapsed="false">
      <c r="A71" s="4" t="n">
        <v>72</v>
      </c>
      <c r="B71" s="4" t="s">
        <v>984</v>
      </c>
      <c r="C71" s="8" t="s">
        <v>628</v>
      </c>
      <c r="D71" s="8" t="s">
        <v>629</v>
      </c>
      <c r="E71" s="4" t="n">
        <v>2023</v>
      </c>
      <c r="F71" s="9" t="n">
        <v>91500</v>
      </c>
      <c r="G71" s="4" t="n">
        <v>13300</v>
      </c>
      <c r="H71" s="8" t="s">
        <v>866</v>
      </c>
      <c r="I71" s="8" t="s">
        <v>632</v>
      </c>
      <c r="J71" s="4" t="s">
        <v>148</v>
      </c>
      <c r="K71" s="8" t="s">
        <v>633</v>
      </c>
      <c r="L71" s="8" t="s">
        <v>874</v>
      </c>
      <c r="M71" s="4" t="s">
        <v>985</v>
      </c>
    </row>
    <row r="72" customFormat="false" ht="15" hidden="false" customHeight="false" outlineLevel="0" collapsed="false">
      <c r="A72" s="4" t="n">
        <v>73</v>
      </c>
      <c r="B72" s="4" t="s">
        <v>986</v>
      </c>
      <c r="C72" s="8" t="s">
        <v>636</v>
      </c>
      <c r="D72" s="8" t="s">
        <v>154</v>
      </c>
      <c r="E72" s="4" t="n">
        <v>2022</v>
      </c>
      <c r="F72" s="9" t="n">
        <v>134000</v>
      </c>
      <c r="G72" s="4" t="n">
        <v>20100</v>
      </c>
      <c r="H72" s="8" t="s">
        <v>370</v>
      </c>
      <c r="I72" s="8" t="s">
        <v>639</v>
      </c>
      <c r="J72" s="4" t="s">
        <v>867</v>
      </c>
      <c r="K72" s="8" t="s">
        <v>879</v>
      </c>
      <c r="L72" s="8" t="s">
        <v>320</v>
      </c>
      <c r="M72" s="4" t="s">
        <v>985</v>
      </c>
    </row>
    <row r="73" customFormat="false" ht="15" hidden="false" customHeight="false" outlineLevel="0" collapsed="false">
      <c r="A73" s="4" t="n">
        <v>74</v>
      </c>
      <c r="B73" s="4" t="s">
        <v>987</v>
      </c>
      <c r="C73" s="8" t="s">
        <v>642</v>
      </c>
      <c r="D73" s="8" t="s">
        <v>124</v>
      </c>
      <c r="E73" s="4" t="n">
        <v>2024</v>
      </c>
      <c r="F73" s="9" t="n">
        <v>96800</v>
      </c>
      <c r="G73" s="4" t="n">
        <v>0</v>
      </c>
      <c r="H73" s="8" t="s">
        <v>878</v>
      </c>
      <c r="I73" s="8" t="s">
        <v>645</v>
      </c>
      <c r="J73" s="4" t="s">
        <v>277</v>
      </c>
      <c r="K73" s="8" t="s">
        <v>646</v>
      </c>
      <c r="L73" s="8" t="s">
        <v>237</v>
      </c>
      <c r="M73" s="4" t="s">
        <v>988</v>
      </c>
    </row>
    <row r="74" customFormat="false" ht="15" hidden="false" customHeight="false" outlineLevel="0" collapsed="false">
      <c r="A74" s="4" t="n">
        <v>75</v>
      </c>
      <c r="B74" s="4" t="s">
        <v>989</v>
      </c>
      <c r="C74" s="8" t="s">
        <v>649</v>
      </c>
      <c r="D74" s="8" t="s">
        <v>65</v>
      </c>
      <c r="E74" s="4" t="n">
        <v>2025</v>
      </c>
      <c r="F74" s="9" t="n">
        <v>131600</v>
      </c>
      <c r="G74" s="4" t="n">
        <v>2900</v>
      </c>
      <c r="H74" s="8" t="s">
        <v>370</v>
      </c>
      <c r="I74" s="8" t="s">
        <v>653</v>
      </c>
      <c r="J74" s="4" t="s">
        <v>257</v>
      </c>
      <c r="K74" s="8" t="s">
        <v>160</v>
      </c>
      <c r="L74" s="8" t="s">
        <v>870</v>
      </c>
      <c r="M74" s="4" t="s">
        <v>988</v>
      </c>
    </row>
    <row r="75" customFormat="false" ht="15" hidden="false" customHeight="false" outlineLevel="0" collapsed="false">
      <c r="A75" s="4" t="n">
        <v>76</v>
      </c>
      <c r="B75" s="4" t="s">
        <v>990</v>
      </c>
      <c r="C75" s="8" t="s">
        <v>656</v>
      </c>
      <c r="D75" s="8" t="s">
        <v>101</v>
      </c>
      <c r="E75" s="4" t="n">
        <v>2023</v>
      </c>
      <c r="F75" s="9" t="n">
        <v>94300</v>
      </c>
      <c r="G75" s="4" t="n">
        <v>13100</v>
      </c>
      <c r="H75" s="8" t="s">
        <v>855</v>
      </c>
      <c r="I75" s="8" t="s">
        <v>659</v>
      </c>
      <c r="J75" s="4" t="s">
        <v>929</v>
      </c>
      <c r="K75" s="8" t="s">
        <v>171</v>
      </c>
      <c r="L75" s="8" t="s">
        <v>237</v>
      </c>
      <c r="M75" s="4" t="s">
        <v>988</v>
      </c>
    </row>
    <row r="76" customFormat="false" ht="15" hidden="false" customHeight="false" outlineLevel="0" collapsed="false">
      <c r="A76" s="4" t="n">
        <v>77</v>
      </c>
      <c r="B76" s="4" t="s">
        <v>991</v>
      </c>
      <c r="C76" s="8" t="s">
        <v>662</v>
      </c>
      <c r="D76" s="8" t="s">
        <v>29</v>
      </c>
      <c r="E76" s="4" t="n">
        <v>2025</v>
      </c>
      <c r="F76" s="9" t="n">
        <v>242000</v>
      </c>
      <c r="G76" s="4" t="n">
        <v>1100</v>
      </c>
      <c r="H76" s="8" t="s">
        <v>882</v>
      </c>
      <c r="I76" s="8" t="s">
        <v>666</v>
      </c>
      <c r="J76" s="4" t="s">
        <v>257</v>
      </c>
      <c r="K76" s="8" t="s">
        <v>667</v>
      </c>
      <c r="L76" s="8" t="s">
        <v>902</v>
      </c>
      <c r="M76" s="4" t="s">
        <v>992</v>
      </c>
    </row>
    <row r="77" customFormat="false" ht="15" hidden="false" customHeight="false" outlineLevel="0" collapsed="false">
      <c r="A77" s="4" t="n">
        <v>78</v>
      </c>
      <c r="B77" s="4" t="s">
        <v>993</v>
      </c>
      <c r="C77" s="8" t="s">
        <v>670</v>
      </c>
      <c r="D77" s="8" t="s">
        <v>671</v>
      </c>
      <c r="E77" s="4" t="n">
        <v>2022</v>
      </c>
      <c r="F77" s="9" t="n">
        <v>82750</v>
      </c>
      <c r="G77" s="4" t="n">
        <v>22500</v>
      </c>
      <c r="H77" s="8" t="s">
        <v>81</v>
      </c>
      <c r="I77" s="8" t="s">
        <v>674</v>
      </c>
      <c r="J77" s="4" t="s">
        <v>908</v>
      </c>
      <c r="K77" s="8" t="s">
        <v>192</v>
      </c>
      <c r="L77" s="8" t="s">
        <v>863</v>
      </c>
      <c r="M77" s="4" t="s">
        <v>992</v>
      </c>
    </row>
    <row r="78" customFormat="false" ht="15" hidden="false" customHeight="false" outlineLevel="0" collapsed="false">
      <c r="A78" s="4" t="n">
        <v>79</v>
      </c>
      <c r="B78" s="4" t="s">
        <v>994</v>
      </c>
      <c r="C78" s="8" t="s">
        <v>678</v>
      </c>
      <c r="D78" s="8" t="s">
        <v>252</v>
      </c>
      <c r="E78" s="4" t="n">
        <v>2026</v>
      </c>
      <c r="F78" s="9" t="n">
        <v>91300</v>
      </c>
      <c r="G78" s="4" t="n">
        <v>0</v>
      </c>
      <c r="H78" s="8" t="s">
        <v>370</v>
      </c>
      <c r="I78" s="8" t="s">
        <v>682</v>
      </c>
      <c r="J78" s="4" t="s">
        <v>106</v>
      </c>
      <c r="K78" s="8" t="s">
        <v>889</v>
      </c>
      <c r="L78" s="8" t="s">
        <v>237</v>
      </c>
      <c r="M78" s="4" t="s">
        <v>992</v>
      </c>
    </row>
    <row r="79" customFormat="false" ht="15" hidden="false" customHeight="false" outlineLevel="0" collapsed="false">
      <c r="A79" s="4" t="n">
        <v>80</v>
      </c>
      <c r="B79" s="4" t="s">
        <v>995</v>
      </c>
      <c r="C79" s="8" t="s">
        <v>685</v>
      </c>
      <c r="D79" s="8" t="s">
        <v>241</v>
      </c>
      <c r="E79" s="4" t="n">
        <v>2021</v>
      </c>
      <c r="F79" s="9" t="n">
        <v>79900</v>
      </c>
      <c r="G79" s="4" t="n">
        <v>44800</v>
      </c>
      <c r="H79" s="8" t="s">
        <v>127</v>
      </c>
      <c r="I79" s="8" t="s">
        <v>688</v>
      </c>
      <c r="J79" s="4" t="s">
        <v>257</v>
      </c>
      <c r="K79" s="8" t="s">
        <v>214</v>
      </c>
      <c r="L79" s="8" t="s">
        <v>61</v>
      </c>
      <c r="M79" s="4" t="s">
        <v>996</v>
      </c>
    </row>
    <row r="80" customFormat="false" ht="15" hidden="false" customHeight="false" outlineLevel="0" collapsed="false">
      <c r="A80" s="4" t="n">
        <v>81</v>
      </c>
      <c r="B80" s="7" t="s">
        <v>844</v>
      </c>
      <c r="C80" s="8" t="s">
        <v>691</v>
      </c>
      <c r="D80" s="8" t="s">
        <v>41</v>
      </c>
      <c r="E80" s="4" t="n">
        <v>2024</v>
      </c>
      <c r="F80" s="9" t="n">
        <v>111000</v>
      </c>
      <c r="G80" s="4" t="n">
        <v>6700</v>
      </c>
      <c r="H80" s="8" t="s">
        <v>189</v>
      </c>
      <c r="I80" s="8" t="s">
        <v>694</v>
      </c>
      <c r="J80" s="4" t="s">
        <v>257</v>
      </c>
      <c r="K80" s="8" t="s">
        <v>224</v>
      </c>
      <c r="L80" s="8" t="s">
        <v>320</v>
      </c>
      <c r="M80" s="4"/>
    </row>
    <row r="81" customFormat="false" ht="15" hidden="false" customHeight="false" outlineLevel="0" collapsed="false">
      <c r="A81" s="4" t="n">
        <v>82</v>
      </c>
      <c r="B81" s="4" t="s">
        <v>997</v>
      </c>
      <c r="C81" s="8" t="s">
        <v>697</v>
      </c>
      <c r="D81" s="8" t="s">
        <v>229</v>
      </c>
      <c r="E81" s="4" t="n">
        <v>2023</v>
      </c>
      <c r="F81" s="9" t="n">
        <v>156500</v>
      </c>
      <c r="G81" s="4" t="n">
        <v>4200</v>
      </c>
      <c r="H81" s="8" t="s">
        <v>855</v>
      </c>
      <c r="I81" s="8" t="s">
        <v>700</v>
      </c>
      <c r="J81" s="4" t="s">
        <v>421</v>
      </c>
      <c r="K81" s="8" t="s">
        <v>236</v>
      </c>
      <c r="L81" s="8" t="s">
        <v>237</v>
      </c>
      <c r="M81" s="4" t="s">
        <v>998</v>
      </c>
    </row>
    <row r="82" customFormat="false" ht="15" hidden="false" customHeight="false" outlineLevel="0" collapsed="false">
      <c r="A82" s="4" t="n">
        <v>83</v>
      </c>
      <c r="B82" s="4" t="s">
        <v>999</v>
      </c>
      <c r="C82" s="8" t="s">
        <v>703</v>
      </c>
      <c r="D82" s="8" t="s">
        <v>368</v>
      </c>
      <c r="E82" s="4" t="n">
        <v>2025</v>
      </c>
      <c r="F82" s="9" t="n">
        <v>119900</v>
      </c>
      <c r="G82" s="4" t="n">
        <v>1250</v>
      </c>
      <c r="H82" s="8" t="s">
        <v>866</v>
      </c>
      <c r="I82" s="8" t="s">
        <v>706</v>
      </c>
      <c r="J82" s="4" t="s">
        <v>407</v>
      </c>
      <c r="K82" s="8" t="s">
        <v>247</v>
      </c>
      <c r="L82" s="8" t="s">
        <v>61</v>
      </c>
      <c r="M82" s="4" t="s">
        <v>998</v>
      </c>
    </row>
    <row r="83" customFormat="false" ht="15" hidden="false" customHeight="false" outlineLevel="0" collapsed="false">
      <c r="A83" s="4" t="n">
        <v>84</v>
      </c>
      <c r="B83" s="7" t="s">
        <v>844</v>
      </c>
      <c r="C83" s="8" t="s">
        <v>710</v>
      </c>
      <c r="D83" s="8" t="s">
        <v>324</v>
      </c>
      <c r="E83" s="4" t="n">
        <v>2022</v>
      </c>
      <c r="F83" s="9" t="n">
        <v>73200</v>
      </c>
      <c r="G83" s="4" t="n">
        <v>18600</v>
      </c>
      <c r="H83" s="8" t="s">
        <v>370</v>
      </c>
      <c r="I83" s="8" t="s">
        <v>713</v>
      </c>
      <c r="J83" s="4" t="s">
        <v>421</v>
      </c>
      <c r="K83" s="8" t="s">
        <v>258</v>
      </c>
      <c r="L83" s="8" t="s">
        <v>237</v>
      </c>
      <c r="M83" s="4"/>
    </row>
    <row r="84" customFormat="false" ht="15" hidden="false" customHeight="false" outlineLevel="0" collapsed="false">
      <c r="A84" s="4" t="n">
        <v>85</v>
      </c>
      <c r="B84" s="4" t="s">
        <v>1000</v>
      </c>
      <c r="C84" s="8" t="s">
        <v>717</v>
      </c>
      <c r="D84" s="8" t="s">
        <v>143</v>
      </c>
      <c r="E84" s="4" t="n">
        <v>2024</v>
      </c>
      <c r="F84" s="9" t="n">
        <v>224000</v>
      </c>
      <c r="G84" s="4" t="n">
        <v>3000</v>
      </c>
      <c r="H84" s="8" t="s">
        <v>370</v>
      </c>
      <c r="I84" s="8" t="s">
        <v>720</v>
      </c>
      <c r="J84" s="4" t="s">
        <v>1001</v>
      </c>
      <c r="K84" s="8" t="s">
        <v>267</v>
      </c>
      <c r="L84" s="8" t="s">
        <v>883</v>
      </c>
      <c r="M84" s="4" t="s">
        <v>998</v>
      </c>
    </row>
    <row r="85" customFormat="false" ht="15" hidden="false" customHeight="false" outlineLevel="0" collapsed="false">
      <c r="A85" s="4" t="n">
        <v>86</v>
      </c>
      <c r="B85" s="4" t="s">
        <v>1002</v>
      </c>
      <c r="C85" s="8" t="s">
        <v>724</v>
      </c>
      <c r="D85" s="8" t="s">
        <v>345</v>
      </c>
      <c r="E85" s="4" t="n">
        <v>2024</v>
      </c>
      <c r="F85" s="9" t="n">
        <v>126900</v>
      </c>
      <c r="G85" s="4" t="n">
        <v>7200</v>
      </c>
      <c r="H85" s="8" t="s">
        <v>81</v>
      </c>
      <c r="I85" s="8" t="s">
        <v>190</v>
      </c>
      <c r="J85" s="4" t="s">
        <v>83</v>
      </c>
      <c r="K85" s="8" t="s">
        <v>846</v>
      </c>
      <c r="L85" s="8" t="s">
        <v>237</v>
      </c>
      <c r="M85" s="4" t="s">
        <v>1003</v>
      </c>
    </row>
    <row r="86" customFormat="false" ht="15" hidden="false" customHeight="false" outlineLevel="0" collapsed="false">
      <c r="A86" s="4" t="n">
        <v>87</v>
      </c>
      <c r="B86" s="4" t="s">
        <v>1004</v>
      </c>
      <c r="C86" s="8" t="s">
        <v>731</v>
      </c>
      <c r="D86" s="8" t="s">
        <v>283</v>
      </c>
      <c r="E86" s="4" t="n">
        <v>2023</v>
      </c>
      <c r="F86" s="9" t="n">
        <v>84500</v>
      </c>
      <c r="G86" s="4" t="n">
        <v>21400</v>
      </c>
      <c r="H86" s="8" t="s">
        <v>189</v>
      </c>
      <c r="I86" s="8" t="s">
        <v>734</v>
      </c>
      <c r="J86" s="4" t="s">
        <v>106</v>
      </c>
      <c r="K86" s="8" t="s">
        <v>1005</v>
      </c>
      <c r="L86" s="8" t="s">
        <v>61</v>
      </c>
      <c r="M86" s="4" t="s">
        <v>1003</v>
      </c>
    </row>
    <row r="87" customFormat="false" ht="15" hidden="false" customHeight="false" outlineLevel="0" collapsed="false">
      <c r="A87" s="4" t="n">
        <v>88</v>
      </c>
      <c r="B87" s="4" t="s">
        <v>1006</v>
      </c>
      <c r="C87" s="8" t="s">
        <v>1007</v>
      </c>
      <c r="D87" s="8" t="s">
        <v>53</v>
      </c>
      <c r="E87" s="4" t="n">
        <v>2022</v>
      </c>
      <c r="F87" s="9" t="n">
        <v>69800</v>
      </c>
      <c r="G87" s="4" t="n">
        <v>26300</v>
      </c>
      <c r="H87" s="8" t="s">
        <v>127</v>
      </c>
      <c r="I87" s="8" t="s">
        <v>920</v>
      </c>
      <c r="J87" s="4" t="s">
        <v>83</v>
      </c>
      <c r="K87" s="8" t="s">
        <v>48</v>
      </c>
      <c r="L87" s="8" t="s">
        <v>237</v>
      </c>
      <c r="M87" s="4" t="s">
        <v>1008</v>
      </c>
    </row>
    <row r="88" customFormat="false" ht="15" hidden="false" customHeight="false" outlineLevel="0" collapsed="false">
      <c r="A88" s="4" t="n">
        <v>89</v>
      </c>
      <c r="B88" s="7" t="s">
        <v>844</v>
      </c>
      <c r="C88" s="8" t="s">
        <v>743</v>
      </c>
      <c r="D88" s="8" t="s">
        <v>65</v>
      </c>
      <c r="E88" s="4" t="n">
        <v>2025</v>
      </c>
      <c r="F88" s="9" t="n">
        <v>132700</v>
      </c>
      <c r="G88" s="4" t="n">
        <v>0</v>
      </c>
      <c r="H88" s="8" t="s">
        <v>370</v>
      </c>
      <c r="I88" s="8" t="s">
        <v>58</v>
      </c>
      <c r="J88" s="4" t="s">
        <v>856</v>
      </c>
      <c r="K88" s="8" t="s">
        <v>857</v>
      </c>
      <c r="L88" s="8" t="s">
        <v>320</v>
      </c>
      <c r="M88" s="4"/>
    </row>
    <row r="89" customFormat="false" ht="15" hidden="false" customHeight="false" outlineLevel="0" collapsed="false">
      <c r="A89" s="4" t="n">
        <v>90</v>
      </c>
      <c r="B89" s="4" t="s">
        <v>1009</v>
      </c>
      <c r="C89" s="8" t="s">
        <v>748</v>
      </c>
      <c r="D89" s="8" t="s">
        <v>241</v>
      </c>
      <c r="E89" s="4" t="n">
        <v>2021</v>
      </c>
      <c r="F89" s="9" t="n">
        <v>81000</v>
      </c>
      <c r="G89" s="4" t="n">
        <v>42</v>
      </c>
      <c r="H89" s="8" t="s">
        <v>855</v>
      </c>
      <c r="I89" s="8" t="s">
        <v>751</v>
      </c>
      <c r="J89" s="4" t="s">
        <v>257</v>
      </c>
      <c r="K89" s="8" t="s">
        <v>72</v>
      </c>
      <c r="L89" s="8" t="s">
        <v>237</v>
      </c>
      <c r="M89" s="4" t="s">
        <v>1010</v>
      </c>
    </row>
    <row r="90" customFormat="false" ht="15" hidden="false" customHeight="false" outlineLevel="0" collapsed="false">
      <c r="A90" s="4" t="n">
        <v>91</v>
      </c>
      <c r="B90" s="4" t="s">
        <v>1011</v>
      </c>
      <c r="C90" s="8" t="s">
        <v>754</v>
      </c>
      <c r="D90" s="8" t="s">
        <v>17</v>
      </c>
      <c r="E90" s="4" t="n">
        <v>2023</v>
      </c>
      <c r="F90" s="9" t="n">
        <v>78900</v>
      </c>
      <c r="G90" s="4" t="n">
        <v>17500</v>
      </c>
      <c r="H90" s="8" t="s">
        <v>872</v>
      </c>
      <c r="I90" s="8" t="s">
        <v>34</v>
      </c>
      <c r="J90" s="4" t="s">
        <v>849</v>
      </c>
      <c r="K90" s="8" t="s">
        <v>391</v>
      </c>
      <c r="L90" s="8" t="s">
        <v>863</v>
      </c>
      <c r="M90" s="4" t="s">
        <v>1010</v>
      </c>
    </row>
    <row r="91" customFormat="false" ht="15" hidden="false" customHeight="false" outlineLevel="0" collapsed="false">
      <c r="A91" s="4" t="n">
        <v>92</v>
      </c>
      <c r="B91" s="4" t="s">
        <v>1012</v>
      </c>
      <c r="C91" s="8" t="s">
        <v>761</v>
      </c>
      <c r="D91" s="8" t="s">
        <v>29</v>
      </c>
      <c r="E91" s="4" t="n">
        <v>2026</v>
      </c>
      <c r="F91" s="9" t="n">
        <v>249300</v>
      </c>
      <c r="G91" s="4" t="n">
        <v>900</v>
      </c>
      <c r="H91" s="8" t="s">
        <v>370</v>
      </c>
      <c r="I91" s="8" t="s">
        <v>764</v>
      </c>
      <c r="J91" s="4" t="s">
        <v>845</v>
      </c>
      <c r="K91" s="8" t="s">
        <v>937</v>
      </c>
      <c r="L91" s="8" t="s">
        <v>883</v>
      </c>
      <c r="M91" s="4" t="s">
        <v>1013</v>
      </c>
    </row>
    <row r="92" customFormat="false" ht="15" hidden="false" customHeight="false" outlineLevel="0" collapsed="false">
      <c r="A92" s="4" t="n">
        <v>93</v>
      </c>
      <c r="B92" s="7" t="s">
        <v>844</v>
      </c>
      <c r="C92" s="8" t="s">
        <v>769</v>
      </c>
      <c r="D92" s="8" t="s">
        <v>41</v>
      </c>
      <c r="E92" s="4" t="n">
        <v>2024</v>
      </c>
      <c r="F92" s="9" t="n">
        <v>108750</v>
      </c>
      <c r="G92" s="4" t="n">
        <v>5530</v>
      </c>
      <c r="H92" s="8" t="s">
        <v>370</v>
      </c>
      <c r="I92" s="8" t="s">
        <v>772</v>
      </c>
      <c r="J92" s="4" t="s">
        <v>407</v>
      </c>
      <c r="K92" s="8" t="s">
        <v>408</v>
      </c>
      <c r="L92" s="8" t="s">
        <v>870</v>
      </c>
      <c r="M92" s="4"/>
    </row>
    <row r="93" customFormat="false" ht="15" hidden="false" customHeight="false" outlineLevel="0" collapsed="false">
      <c r="A93" s="4" t="n">
        <v>94</v>
      </c>
      <c r="B93" s="7" t="s">
        <v>844</v>
      </c>
      <c r="C93" s="8" t="s">
        <v>775</v>
      </c>
      <c r="D93" s="8" t="s">
        <v>252</v>
      </c>
      <c r="E93" s="4" t="n">
        <v>2026</v>
      </c>
      <c r="F93" s="9" t="n">
        <v>92600</v>
      </c>
      <c r="G93" s="4" t="n">
        <v>0</v>
      </c>
      <c r="H93" s="8" t="s">
        <v>127</v>
      </c>
      <c r="I93" s="8" t="s">
        <v>873</v>
      </c>
      <c r="J93" s="4" t="s">
        <v>118</v>
      </c>
      <c r="K93" s="8" t="s">
        <v>415</v>
      </c>
      <c r="L93" s="8" t="s">
        <v>874</v>
      </c>
      <c r="M93" s="4"/>
    </row>
    <row r="94" customFormat="false" ht="15" hidden="false" customHeight="false" outlineLevel="0" collapsed="false">
      <c r="A94" s="4" t="n">
        <v>95</v>
      </c>
      <c r="B94" s="4" t="s">
        <v>1014</v>
      </c>
      <c r="C94" s="8" t="s">
        <v>781</v>
      </c>
      <c r="D94" s="8" t="s">
        <v>135</v>
      </c>
      <c r="E94" s="4" t="n">
        <v>2025</v>
      </c>
      <c r="F94" s="9" t="n">
        <v>164000</v>
      </c>
      <c r="G94" s="4" t="n">
        <v>0</v>
      </c>
      <c r="H94" s="8" t="s">
        <v>878</v>
      </c>
      <c r="I94" s="8" t="s">
        <v>783</v>
      </c>
      <c r="J94" s="4" t="s">
        <v>257</v>
      </c>
      <c r="K94" s="8" t="s">
        <v>422</v>
      </c>
      <c r="L94" s="8" t="s">
        <v>320</v>
      </c>
      <c r="M94" s="4" t="s">
        <v>1015</v>
      </c>
    </row>
    <row r="95" customFormat="false" ht="15" hidden="false" customHeight="false" outlineLevel="0" collapsed="false">
      <c r="A95" s="4" t="n">
        <v>96</v>
      </c>
      <c r="B95" s="4" t="s">
        <v>1016</v>
      </c>
      <c r="C95" s="8" t="s">
        <v>786</v>
      </c>
      <c r="D95" s="8" t="s">
        <v>377</v>
      </c>
      <c r="E95" s="4" t="n">
        <v>2024</v>
      </c>
      <c r="F95" s="9" t="n">
        <v>119000</v>
      </c>
      <c r="G95" s="4" t="n">
        <v>13400</v>
      </c>
      <c r="H95" s="8" t="s">
        <v>81</v>
      </c>
      <c r="I95" s="8" t="s">
        <v>1017</v>
      </c>
      <c r="J95" s="4" t="s">
        <v>106</v>
      </c>
      <c r="K95" s="8" t="s">
        <v>944</v>
      </c>
      <c r="L95" s="8" t="s">
        <v>237</v>
      </c>
      <c r="M95" s="4" t="s">
        <v>1015</v>
      </c>
    </row>
    <row r="96" customFormat="false" ht="15" hidden="false" customHeight="false" outlineLevel="0" collapsed="false">
      <c r="A96" s="4" t="n">
        <v>97</v>
      </c>
      <c r="B96" s="7" t="s">
        <v>844</v>
      </c>
      <c r="C96" s="8" t="s">
        <v>792</v>
      </c>
      <c r="D96" s="8" t="s">
        <v>143</v>
      </c>
      <c r="E96" s="4" t="n">
        <v>2026</v>
      </c>
      <c r="F96" s="9" t="n">
        <v>232500</v>
      </c>
      <c r="G96" s="4" t="n">
        <v>1700</v>
      </c>
      <c r="H96" s="8" t="s">
        <v>370</v>
      </c>
      <c r="I96" s="8" t="s">
        <v>147</v>
      </c>
      <c r="J96" s="4" t="s">
        <v>148</v>
      </c>
      <c r="K96" s="8" t="s">
        <v>945</v>
      </c>
      <c r="L96" s="8" t="s">
        <v>61</v>
      </c>
      <c r="M96" s="4"/>
    </row>
    <row r="97" customFormat="false" ht="15" hidden="false" customHeight="false" outlineLevel="0" collapsed="false">
      <c r="A97" s="4" t="n">
        <v>98</v>
      </c>
      <c r="B97" s="4" t="s">
        <v>1018</v>
      </c>
      <c r="C97" s="8" t="s">
        <v>798</v>
      </c>
      <c r="D97" s="8" t="s">
        <v>101</v>
      </c>
      <c r="E97" s="4" t="n">
        <v>2023</v>
      </c>
      <c r="F97" s="9" t="n">
        <v>96800</v>
      </c>
      <c r="G97" s="4" t="n">
        <v>14000</v>
      </c>
      <c r="H97" s="8" t="s">
        <v>866</v>
      </c>
      <c r="I97" s="8" t="s">
        <v>212</v>
      </c>
      <c r="J97" s="4" t="s">
        <v>277</v>
      </c>
      <c r="K97" s="8" t="s">
        <v>446</v>
      </c>
      <c r="L97" s="8" t="s">
        <v>237</v>
      </c>
      <c r="M97" s="4" t="s">
        <v>1019</v>
      </c>
    </row>
    <row r="98" customFormat="false" ht="15" hidden="false" customHeight="false" outlineLevel="0" collapsed="false">
      <c r="A98" s="4" t="n">
        <v>99</v>
      </c>
      <c r="B98" s="4" t="s">
        <v>1020</v>
      </c>
      <c r="C98" s="8" t="s">
        <v>803</v>
      </c>
      <c r="D98" s="8" t="s">
        <v>324</v>
      </c>
      <c r="E98" s="4" t="n">
        <v>2022</v>
      </c>
      <c r="F98" s="9" t="n">
        <v>74400</v>
      </c>
      <c r="G98" s="4" t="n">
        <v>20750</v>
      </c>
      <c r="H98" s="8" t="s">
        <v>855</v>
      </c>
      <c r="I98" s="8" t="s">
        <v>452</v>
      </c>
      <c r="J98" s="4" t="s">
        <v>407</v>
      </c>
      <c r="K98" s="8" t="s">
        <v>453</v>
      </c>
      <c r="L98" s="8" t="s">
        <v>902</v>
      </c>
      <c r="M98" s="4" t="s">
        <v>1021</v>
      </c>
    </row>
    <row r="99" customFormat="false" ht="15" hidden="false" customHeight="false" outlineLevel="0" collapsed="false">
      <c r="A99" s="4" t="n">
        <v>100</v>
      </c>
      <c r="B99" s="4" t="s">
        <v>1022</v>
      </c>
      <c r="C99" s="8" t="s">
        <v>456</v>
      </c>
      <c r="D99" s="8" t="s">
        <v>272</v>
      </c>
      <c r="E99" s="4" t="n">
        <v>2025</v>
      </c>
      <c r="F99" s="9" t="n">
        <v>148500</v>
      </c>
      <c r="G99" s="4" t="n">
        <v>5200</v>
      </c>
      <c r="H99" s="8" t="s">
        <v>882</v>
      </c>
      <c r="I99" s="8" t="s">
        <v>460</v>
      </c>
      <c r="J99" s="4" t="s">
        <v>461</v>
      </c>
      <c r="K99" s="8" t="s">
        <v>950</v>
      </c>
      <c r="L99" s="8" t="s">
        <v>237</v>
      </c>
      <c r="M99" s="4" t="s">
        <v>1021</v>
      </c>
    </row>
    <row r="100" customFormat="false" ht="15" hidden="false" customHeight="false" outlineLevel="0" collapsed="false">
      <c r="A100" s="4" t="n">
        <v>101</v>
      </c>
      <c r="B100" s="4" t="s">
        <v>1023</v>
      </c>
      <c r="C100" s="8" t="s">
        <v>465</v>
      </c>
      <c r="D100" s="8" t="s">
        <v>112</v>
      </c>
      <c r="E100" s="4" t="n">
        <v>2021</v>
      </c>
      <c r="F100" s="9" t="n">
        <v>71900</v>
      </c>
      <c r="G100" s="4" t="n">
        <v>29600</v>
      </c>
      <c r="H100" s="8" t="s">
        <v>189</v>
      </c>
      <c r="I100" s="8" t="s">
        <v>952</v>
      </c>
      <c r="J100" s="4" t="s">
        <v>106</v>
      </c>
      <c r="K100" s="8" t="s">
        <v>469</v>
      </c>
      <c r="L100" s="8" t="s">
        <v>61</v>
      </c>
      <c r="M100" s="4" t="s">
        <v>1024</v>
      </c>
    </row>
    <row r="101" customFormat="false" ht="15" hidden="false" customHeight="false" outlineLevel="0" collapsed="false">
      <c r="A101" s="4" t="n">
        <v>102</v>
      </c>
      <c r="B101" s="7" t="s">
        <v>844</v>
      </c>
      <c r="C101" s="8" t="s">
        <v>472</v>
      </c>
      <c r="D101" s="8" t="s">
        <v>473</v>
      </c>
      <c r="E101" s="4" t="n">
        <v>2024</v>
      </c>
      <c r="F101" s="9" t="n">
        <v>143250</v>
      </c>
      <c r="G101" s="4" t="n">
        <v>3100</v>
      </c>
      <c r="H101" s="8" t="s">
        <v>127</v>
      </c>
      <c r="I101" s="8" t="s">
        <v>476</v>
      </c>
      <c r="J101" s="4" t="s">
        <v>106</v>
      </c>
      <c r="K101" s="8" t="s">
        <v>954</v>
      </c>
      <c r="L101" s="8" t="s">
        <v>320</v>
      </c>
      <c r="M101" s="4"/>
    </row>
    <row r="102" customFormat="false" ht="15" hidden="false" customHeight="false" outlineLevel="0" collapsed="false">
      <c r="A102" s="4" t="n">
        <v>103</v>
      </c>
      <c r="B102" s="4" t="s">
        <v>1025</v>
      </c>
      <c r="C102" s="8" t="s">
        <v>480</v>
      </c>
      <c r="D102" s="8" t="s">
        <v>426</v>
      </c>
      <c r="E102" s="4" t="n">
        <v>2020</v>
      </c>
      <c r="F102" s="9" t="n">
        <v>137500</v>
      </c>
      <c r="G102" s="4" t="n">
        <v>48000</v>
      </c>
      <c r="H102" s="8" t="s">
        <v>370</v>
      </c>
      <c r="I102" s="8" t="s">
        <v>483</v>
      </c>
      <c r="J102" s="4" t="s">
        <v>484</v>
      </c>
      <c r="K102" s="8" t="s">
        <v>485</v>
      </c>
      <c r="L102" s="8" t="s">
        <v>237</v>
      </c>
      <c r="M102" s="4" t="s">
        <v>1026</v>
      </c>
    </row>
    <row r="103" customFormat="false" ht="15" hidden="false" customHeight="false" outlineLevel="0" collapsed="false">
      <c r="A103" s="4" t="n">
        <v>104</v>
      </c>
      <c r="B103" s="4" t="s">
        <v>1027</v>
      </c>
      <c r="C103" s="8" t="s">
        <v>488</v>
      </c>
      <c r="D103" s="8" t="s">
        <v>165</v>
      </c>
      <c r="E103" s="4" t="n">
        <v>2025</v>
      </c>
      <c r="F103" s="9" t="n">
        <v>204800</v>
      </c>
      <c r="G103" s="4" t="n">
        <v>3300</v>
      </c>
      <c r="H103" s="8" t="s">
        <v>81</v>
      </c>
      <c r="I103" s="8" t="s">
        <v>493</v>
      </c>
      <c r="J103" s="4" t="s">
        <v>957</v>
      </c>
      <c r="K103" s="8" t="s">
        <v>495</v>
      </c>
      <c r="L103" s="8" t="s">
        <v>61</v>
      </c>
      <c r="M103" s="4" t="s">
        <v>1026</v>
      </c>
    </row>
    <row r="104" customFormat="false" ht="15" hidden="false" customHeight="false" outlineLevel="0" collapsed="false">
      <c r="A104" s="4" t="n">
        <v>105</v>
      </c>
      <c r="B104" s="4" t="s">
        <v>1028</v>
      </c>
      <c r="C104" s="8" t="s">
        <v>498</v>
      </c>
      <c r="D104" s="8" t="s">
        <v>261</v>
      </c>
      <c r="E104" s="4" t="n">
        <v>2024</v>
      </c>
      <c r="F104" s="9" t="n">
        <v>271700</v>
      </c>
      <c r="G104" s="4" t="n">
        <v>1050</v>
      </c>
      <c r="H104" s="8" t="s">
        <v>866</v>
      </c>
      <c r="I104" s="8" t="s">
        <v>959</v>
      </c>
      <c r="J104" s="4" t="s">
        <v>960</v>
      </c>
      <c r="K104" s="8" t="s">
        <v>502</v>
      </c>
      <c r="L104" s="8" t="s">
        <v>237</v>
      </c>
      <c r="M104" s="4" t="s">
        <v>1029</v>
      </c>
    </row>
  </sheetData>
  <mergeCells count="2">
    <mergeCell ref="A1:M1"/>
    <mergeCell ref="A3:M3"/>
  </mergeCells>
  <hyperlinks>
    <hyperlink ref="A2" r:id="rId1" location="Dashboard!A1" display="&lt;&lt;  Voltar ao Dashboar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E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3"/>
    <col collapsed="false" customWidth="true" hidden="false" outlineLevel="0" max="5" min="5" style="0" width="40"/>
  </cols>
  <sheetData>
    <row r="1" customFormat="false" ht="30" hidden="false" customHeight="true" outlineLevel="0" collapsed="false">
      <c r="A1" s="1" t="s">
        <v>1030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10" t="s">
        <v>1031</v>
      </c>
      <c r="B4" s="10"/>
      <c r="C4" s="10"/>
    </row>
    <row r="5" customFormat="false" ht="21.75" hidden="false" customHeight="true" outlineLevel="0" collapsed="false">
      <c r="A5" s="3" t="s">
        <v>1032</v>
      </c>
      <c r="B5" s="3" t="s">
        <v>1033</v>
      </c>
      <c r="C5" s="3" t="s">
        <v>1034</v>
      </c>
    </row>
    <row r="6" customFormat="false" ht="15" hidden="false" customHeight="false" outlineLevel="0" collapsed="false">
      <c r="A6" s="11" t="s">
        <v>1035</v>
      </c>
      <c r="B6" s="12" t="n">
        <v>1</v>
      </c>
      <c r="C6" s="13" t="n">
        <v>0</v>
      </c>
    </row>
    <row r="7" customFormat="false" ht="15" hidden="false" customHeight="false" outlineLevel="0" collapsed="false">
      <c r="A7" s="11" t="s">
        <v>1036</v>
      </c>
      <c r="B7" s="12" t="n">
        <v>1</v>
      </c>
      <c r="C7" s="13" t="n">
        <v>0</v>
      </c>
    </row>
    <row r="8" customFormat="false" ht="15" hidden="false" customHeight="false" outlineLevel="0" collapsed="false">
      <c r="A8" s="11" t="s">
        <v>1037</v>
      </c>
      <c r="B8" s="12" t="n">
        <v>1</v>
      </c>
      <c r="C8" s="13" t="n">
        <v>0</v>
      </c>
    </row>
    <row r="9" customFormat="false" ht="15" hidden="false" customHeight="false" outlineLevel="0" collapsed="false">
      <c r="A9" s="11" t="s">
        <v>1038</v>
      </c>
      <c r="B9" s="12" t="n">
        <v>1</v>
      </c>
      <c r="C9" s="13" t="n">
        <v>0</v>
      </c>
    </row>
    <row r="10" customFormat="false" ht="15" hidden="false" customHeight="false" outlineLevel="0" collapsed="false">
      <c r="A10" s="11" t="s">
        <v>1039</v>
      </c>
      <c r="B10" s="12" t="n">
        <v>1</v>
      </c>
      <c r="C10" s="13" t="n">
        <v>0</v>
      </c>
    </row>
    <row r="11" customFormat="false" ht="15" hidden="false" customHeight="false" outlineLevel="0" collapsed="false">
      <c r="A11" s="11" t="s">
        <v>839</v>
      </c>
      <c r="B11" s="12" t="n">
        <v>1</v>
      </c>
      <c r="C11" s="13" t="n">
        <v>0</v>
      </c>
    </row>
    <row r="12" customFormat="false" ht="15" hidden="false" customHeight="false" outlineLevel="0" collapsed="false">
      <c r="A12" s="11" t="s">
        <v>1040</v>
      </c>
      <c r="B12" s="12" t="n">
        <v>1</v>
      </c>
      <c r="C12" s="13" t="n">
        <v>0</v>
      </c>
    </row>
    <row r="13" customFormat="false" ht="15" hidden="false" customHeight="false" outlineLevel="0" collapsed="false">
      <c r="A13" s="11" t="s">
        <v>1041</v>
      </c>
      <c r="B13" s="12" t="n">
        <v>1</v>
      </c>
      <c r="C13" s="13" t="n">
        <v>0</v>
      </c>
    </row>
    <row r="15" customFormat="false" ht="15" hidden="false" customHeight="true" outlineLevel="0" collapsed="false">
      <c r="A15" s="5" t="s">
        <v>1042</v>
      </c>
      <c r="B15" s="5"/>
      <c r="C15" s="5"/>
    </row>
    <row r="16" customFormat="false" ht="15" hidden="false" customHeight="false" outlineLevel="0" collapsed="false">
      <c r="A16" s="5"/>
      <c r="B16" s="5"/>
      <c r="C16" s="5"/>
    </row>
    <row r="17" customFormat="false" ht="15" hidden="false" customHeight="false" outlineLevel="0" collapsed="false">
      <c r="A17" s="5"/>
      <c r="B17" s="5"/>
      <c r="C17" s="5"/>
    </row>
    <row r="19" customFormat="false" ht="19.5" hidden="false" customHeight="true" outlineLevel="0" collapsed="false">
      <c r="A19" s="14" t="s">
        <v>1043</v>
      </c>
      <c r="B19" s="14"/>
      <c r="C19" s="14"/>
    </row>
    <row r="20" customFormat="false" ht="21.75" hidden="false" customHeight="true" outlineLevel="0" collapsed="false">
      <c r="A20" s="3" t="s">
        <v>2</v>
      </c>
      <c r="B20" s="3" t="s">
        <v>1044</v>
      </c>
      <c r="C20" s="3"/>
    </row>
    <row r="21" customFormat="false" ht="15" hidden="false" customHeight="false" outlineLevel="0" collapsed="false">
      <c r="A21" s="15" t="n">
        <v>6</v>
      </c>
      <c r="B21" s="8" t="s">
        <v>15</v>
      </c>
    </row>
    <row r="22" customFormat="false" ht="15" hidden="false" customHeight="false" outlineLevel="0" collapsed="false">
      <c r="A22" s="15" t="n">
        <v>9</v>
      </c>
      <c r="B22" s="8" t="s">
        <v>51</v>
      </c>
    </row>
    <row r="23" customFormat="false" ht="15" hidden="false" customHeight="false" outlineLevel="0" collapsed="false">
      <c r="A23" s="15" t="n">
        <v>13</v>
      </c>
      <c r="B23" s="8" t="s">
        <v>99</v>
      </c>
    </row>
    <row r="24" customFormat="false" ht="15" hidden="false" customHeight="false" outlineLevel="0" collapsed="false">
      <c r="A24" s="15" t="n">
        <v>17</v>
      </c>
      <c r="B24" s="8" t="s">
        <v>141</v>
      </c>
    </row>
    <row r="25" customFormat="false" ht="15" hidden="false" customHeight="false" outlineLevel="0" collapsed="false">
      <c r="A25" s="15" t="n">
        <v>22</v>
      </c>
      <c r="B25" s="8" t="s">
        <v>194</v>
      </c>
    </row>
    <row r="26" customFormat="false" ht="15" hidden="false" customHeight="false" outlineLevel="0" collapsed="false">
      <c r="A26" s="15" t="n">
        <v>24</v>
      </c>
      <c r="B26" s="8" t="s">
        <v>216</v>
      </c>
    </row>
    <row r="27" customFormat="false" ht="15" hidden="false" customHeight="false" outlineLevel="0" collapsed="false">
      <c r="A27" s="15" t="n">
        <v>28</v>
      </c>
      <c r="B27" s="8" t="s">
        <v>259</v>
      </c>
    </row>
    <row r="28" customFormat="false" ht="15" hidden="false" customHeight="false" outlineLevel="0" collapsed="false">
      <c r="A28" s="15" t="n">
        <v>31</v>
      </c>
      <c r="B28" s="8" t="s">
        <v>291</v>
      </c>
    </row>
    <row r="29" customFormat="false" ht="15" hidden="false" customHeight="false" outlineLevel="0" collapsed="false">
      <c r="A29" s="15" t="n">
        <v>36</v>
      </c>
      <c r="B29" s="8" t="s">
        <v>343</v>
      </c>
    </row>
    <row r="30" customFormat="false" ht="15" hidden="false" customHeight="false" outlineLevel="0" collapsed="false">
      <c r="A30" s="15" t="n">
        <v>43</v>
      </c>
      <c r="B30" s="8" t="s">
        <v>402</v>
      </c>
    </row>
    <row r="31" customFormat="false" ht="15" hidden="false" customHeight="false" outlineLevel="0" collapsed="false">
      <c r="A31" s="15" t="n">
        <v>44</v>
      </c>
      <c r="B31" s="8" t="s">
        <v>410</v>
      </c>
    </row>
    <row r="32" customFormat="false" ht="15" hidden="false" customHeight="false" outlineLevel="0" collapsed="false">
      <c r="A32" s="15" t="n">
        <v>47</v>
      </c>
      <c r="B32" s="8" t="s">
        <v>433</v>
      </c>
    </row>
    <row r="33" customFormat="false" ht="15" hidden="false" customHeight="false" outlineLevel="0" collapsed="false">
      <c r="A33" s="15" t="n">
        <v>52</v>
      </c>
      <c r="B33" s="8" t="s">
        <v>471</v>
      </c>
    </row>
    <row r="34" customFormat="false" ht="15" hidden="false" customHeight="false" outlineLevel="0" collapsed="false">
      <c r="A34" s="15" t="n">
        <v>57</v>
      </c>
      <c r="B34" s="8" t="s">
        <v>512</v>
      </c>
    </row>
    <row r="35" customFormat="false" ht="15" hidden="false" customHeight="false" outlineLevel="0" collapsed="false">
      <c r="A35" s="15" t="n">
        <v>59</v>
      </c>
      <c r="B35" s="8" t="s">
        <v>527</v>
      </c>
    </row>
    <row r="36" customFormat="false" ht="15" hidden="false" customHeight="false" outlineLevel="0" collapsed="false">
      <c r="A36" s="15" t="n">
        <v>67</v>
      </c>
      <c r="B36" s="8" t="s">
        <v>588</v>
      </c>
    </row>
    <row r="37" customFormat="false" ht="15" hidden="false" customHeight="false" outlineLevel="0" collapsed="false">
      <c r="A37" s="15" t="n">
        <v>70</v>
      </c>
      <c r="B37" s="8" t="s">
        <v>612</v>
      </c>
    </row>
    <row r="38" customFormat="false" ht="15" hidden="false" customHeight="false" outlineLevel="0" collapsed="false">
      <c r="A38" s="15" t="n">
        <v>81</v>
      </c>
      <c r="B38" s="8" t="s">
        <v>690</v>
      </c>
    </row>
    <row r="39" customFormat="false" ht="15" hidden="false" customHeight="false" outlineLevel="0" collapsed="false">
      <c r="A39" s="15" t="n">
        <v>84</v>
      </c>
      <c r="B39" s="8" t="s">
        <v>709</v>
      </c>
    </row>
    <row r="40" customFormat="false" ht="15" hidden="false" customHeight="false" outlineLevel="0" collapsed="false">
      <c r="A40" s="15" t="n">
        <v>89</v>
      </c>
      <c r="B40" s="8" t="s">
        <v>742</v>
      </c>
    </row>
    <row r="41" customFormat="false" ht="15" hidden="false" customHeight="false" outlineLevel="0" collapsed="false">
      <c r="A41" s="15" t="n">
        <v>93</v>
      </c>
      <c r="B41" s="8" t="s">
        <v>768</v>
      </c>
    </row>
    <row r="42" customFormat="false" ht="15" hidden="false" customHeight="false" outlineLevel="0" collapsed="false">
      <c r="A42" s="15" t="n">
        <v>94</v>
      </c>
      <c r="B42" s="8" t="s">
        <v>774</v>
      </c>
    </row>
    <row r="43" customFormat="false" ht="15" hidden="false" customHeight="false" outlineLevel="0" collapsed="false">
      <c r="A43" s="15" t="n">
        <v>97</v>
      </c>
      <c r="B43" s="8" t="s">
        <v>791</v>
      </c>
    </row>
    <row r="44" customFormat="false" ht="15" hidden="false" customHeight="false" outlineLevel="0" collapsed="false">
      <c r="A44" s="15" t="n">
        <v>102</v>
      </c>
      <c r="B44" s="8" t="s">
        <v>815</v>
      </c>
    </row>
    <row r="46" customFormat="false" ht="15" hidden="false" customHeight="true" outlineLevel="0" collapsed="false">
      <c r="A46" s="5" t="s">
        <v>1045</v>
      </c>
      <c r="B46" s="5"/>
      <c r="C46" s="5"/>
    </row>
    <row r="47" customFormat="false" ht="15" hidden="false" customHeight="false" outlineLevel="0" collapsed="false">
      <c r="A47" s="5"/>
      <c r="B47" s="5"/>
      <c r="C47" s="5"/>
    </row>
    <row r="48" customFormat="false" ht="15" hidden="false" customHeight="false" outlineLevel="0" collapsed="false">
      <c r="A48" s="5"/>
      <c r="B48" s="5"/>
      <c r="C48" s="5"/>
    </row>
    <row r="49" customFormat="false" ht="15" hidden="false" customHeight="false" outlineLevel="0" collapsed="false">
      <c r="A49" s="5"/>
      <c r="B49" s="5"/>
      <c r="C49" s="5"/>
    </row>
    <row r="51" customFormat="false" ht="19.5" hidden="false" customHeight="true" outlineLevel="0" collapsed="false">
      <c r="A51" s="14" t="s">
        <v>1046</v>
      </c>
      <c r="B51" s="14"/>
      <c r="C51" s="14"/>
    </row>
    <row r="52" customFormat="false" ht="21.75" hidden="false" customHeight="true" outlineLevel="0" collapsed="false">
      <c r="A52" s="3" t="s">
        <v>1047</v>
      </c>
      <c r="B52" s="3" t="s">
        <v>1048</v>
      </c>
      <c r="C52" s="3"/>
    </row>
    <row r="53" customFormat="false" ht="15" hidden="false" customHeight="false" outlineLevel="0" collapsed="false">
      <c r="A53" s="8" t="s">
        <v>60</v>
      </c>
      <c r="B53" s="16" t="s">
        <v>857</v>
      </c>
      <c r="C53" s="16"/>
    </row>
    <row r="54" customFormat="false" ht="15" hidden="false" customHeight="false" outlineLevel="0" collapsed="false">
      <c r="A54" s="8" t="s">
        <v>24</v>
      </c>
      <c r="B54" s="16" t="s">
        <v>846</v>
      </c>
      <c r="C54" s="16"/>
    </row>
    <row r="55" customFormat="false" ht="15" hidden="false" customHeight="false" outlineLevel="0" collapsed="false">
      <c r="A55" s="8" t="s">
        <v>400</v>
      </c>
      <c r="B55" s="16" t="s">
        <v>937</v>
      </c>
      <c r="C55" s="16"/>
    </row>
    <row r="56" customFormat="false" ht="15" hidden="false" customHeight="false" outlineLevel="0" collapsed="false">
      <c r="A56" s="8" t="s">
        <v>349</v>
      </c>
      <c r="B56" s="16" t="s">
        <v>1049</v>
      </c>
      <c r="C56" s="16"/>
    </row>
    <row r="58" customFormat="false" ht="15" hidden="false" customHeight="true" outlineLevel="0" collapsed="false">
      <c r="A58" s="5" t="s">
        <v>1050</v>
      </c>
      <c r="B58" s="5"/>
      <c r="C58" s="5"/>
    </row>
    <row r="59" customFormat="false" ht="15" hidden="false" customHeight="false" outlineLevel="0" collapsed="false">
      <c r="A59" s="5"/>
      <c r="B59" s="5"/>
      <c r="C59" s="5"/>
    </row>
    <row r="60" customFormat="false" ht="15" hidden="false" customHeight="false" outlineLevel="0" collapsed="false">
      <c r="A60" s="5"/>
      <c r="B60" s="5"/>
      <c r="C60" s="5"/>
    </row>
    <row r="61" customFormat="false" ht="15" hidden="false" customHeight="false" outlineLevel="0" collapsed="false">
      <c r="A61" s="5"/>
      <c r="B61" s="5"/>
      <c r="C61" s="5"/>
    </row>
  </sheetData>
  <mergeCells count="11">
    <mergeCell ref="A1:E1"/>
    <mergeCell ref="A4:C4"/>
    <mergeCell ref="A15:C17"/>
    <mergeCell ref="A19:C19"/>
    <mergeCell ref="A46:C49"/>
    <mergeCell ref="A51:C51"/>
    <mergeCell ref="B53:C53"/>
    <mergeCell ref="B54:C54"/>
    <mergeCell ref="B55:C55"/>
    <mergeCell ref="B56:C56"/>
    <mergeCell ref="A58:C61"/>
  </mergeCells>
  <hyperlinks>
    <hyperlink ref="A2" r:id="rId1" location="Dashboard!A1" display="&lt;&lt;  Voltar ao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AD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3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3"/>
    <col collapsed="false" customWidth="true" hidden="false" outlineLevel="0" max="9" min="9" style="0" width="22"/>
    <col collapsed="false" customWidth="true" hidden="false" outlineLevel="0" max="10" min="10" style="0" width="15"/>
    <col collapsed="false" customWidth="true" hidden="false" outlineLevel="0" max="11" min="11" style="0" width="3"/>
    <col collapsed="false" customWidth="true" hidden="false" outlineLevel="0" max="13" min="13" style="0" width="26"/>
    <col collapsed="false" customWidth="true" hidden="false" outlineLevel="0" max="14" min="14" style="0" width="15"/>
    <col collapsed="false" customWidth="true" hidden="false" outlineLevel="0" max="15" min="15" style="0" width="3"/>
    <col collapsed="false" customWidth="true" hidden="false" outlineLevel="0" max="17" min="17" style="0" width="26"/>
    <col collapsed="false" customWidth="true" hidden="false" outlineLevel="0" max="18" min="18" style="0" width="15"/>
    <col collapsed="false" customWidth="true" hidden="false" outlineLevel="0" max="19" min="19" style="0" width="3"/>
    <col collapsed="false" customWidth="true" hidden="false" outlineLevel="0" max="21" min="21" style="0" width="12"/>
    <col collapsed="false" customWidth="true" hidden="false" outlineLevel="0" max="22" min="22" style="0" width="15"/>
    <col collapsed="false" customWidth="true" hidden="false" outlineLevel="0" max="23" min="23" style="0" width="3"/>
    <col collapsed="false" customWidth="true" hidden="false" outlineLevel="0" max="25" min="25" style="0" width="26"/>
    <col collapsed="false" customWidth="true" hidden="false" outlineLevel="0" max="26" min="26" style="0" width="15"/>
    <col collapsed="false" customWidth="true" hidden="false" outlineLevel="0" max="27" min="27" style="0" width="3"/>
    <col collapsed="false" customWidth="true" hidden="false" outlineLevel="0" max="29" min="29" style="0" width="26"/>
    <col collapsed="false" customWidth="true" hidden="false" outlineLevel="0" max="30" min="30" style="0" width="15"/>
  </cols>
  <sheetData>
    <row r="1" customFormat="false" ht="30" hidden="false" customHeight="true" outlineLevel="0" collapsed="false">
      <c r="A1" s="1" t="s">
        <v>1051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10" t="s">
        <v>1052</v>
      </c>
      <c r="B4" s="10"/>
      <c r="E4" s="10" t="s">
        <v>1053</v>
      </c>
      <c r="F4" s="10"/>
      <c r="I4" s="10" t="s">
        <v>1054</v>
      </c>
      <c r="J4" s="10"/>
      <c r="M4" s="10" t="s">
        <v>1055</v>
      </c>
      <c r="N4" s="10"/>
      <c r="Q4" s="10" t="s">
        <v>1056</v>
      </c>
      <c r="R4" s="10"/>
      <c r="Y4" s="10" t="s">
        <v>1057</v>
      </c>
      <c r="Z4" s="10"/>
    </row>
    <row r="5" customFormat="false" ht="21.75" hidden="false" customHeight="true" outlineLevel="0" collapsed="false">
      <c r="A5" s="3" t="s">
        <v>835</v>
      </c>
      <c r="B5" s="3" t="s">
        <v>1058</v>
      </c>
      <c r="E5" s="3" t="s">
        <v>1059</v>
      </c>
      <c r="F5" s="3" t="s">
        <v>1058</v>
      </c>
      <c r="I5" s="3" t="s">
        <v>1060</v>
      </c>
      <c r="J5" s="3" t="s">
        <v>1061</v>
      </c>
      <c r="M5" s="3" t="s">
        <v>5</v>
      </c>
      <c r="N5" s="3" t="s">
        <v>1058</v>
      </c>
      <c r="Q5" s="3" t="s">
        <v>840</v>
      </c>
      <c r="R5" s="3" t="s">
        <v>1058</v>
      </c>
      <c r="Y5" s="3" t="s">
        <v>841</v>
      </c>
      <c r="Z5" s="3" t="s">
        <v>1058</v>
      </c>
    </row>
    <row r="6" customFormat="false" ht="15" hidden="false" customHeight="false" outlineLevel="0" collapsed="false">
      <c r="A6" s="13" t="n">
        <v>2024</v>
      </c>
      <c r="B6" s="17" t="n">
        <f aca="false">SUMPRODUCT((LEFT(Dados_Tratados!$M$5:$M$104,4)=TEXT(A6,"0"))*Dados_Tratados!$F$5:$F$104)</f>
        <v>1439050.5</v>
      </c>
      <c r="E6" s="11" t="s">
        <v>855</v>
      </c>
      <c r="F6" s="17" t="n">
        <f aca="false">SUMIF(Dados_Tratados!$H$5:$H$104,E6,Dados_Tratados!$F$5:$F$104)</f>
        <v>1326550</v>
      </c>
      <c r="I6" s="11" t="s">
        <v>237</v>
      </c>
      <c r="J6" s="13" t="n">
        <f aca="false">COUNTIF(Dados_Tratados!$L$5:$L$104,I6)</f>
        <v>41</v>
      </c>
      <c r="M6" s="11" t="s">
        <v>112</v>
      </c>
      <c r="N6" s="17" t="n">
        <f aca="false">SUMIF(Dados_Tratados!$D$5:$D$104,M6,Dados_Tratados!$F$5:$F$104)</f>
        <v>219400</v>
      </c>
      <c r="Q6" s="11" t="s">
        <v>975</v>
      </c>
      <c r="R6" s="17" t="n">
        <f aca="false">SUMIF(Dados_Tratados!$J$5:$J$104,Q6,Dados_Tratados!$F$5:$F$104)</f>
        <v>132000</v>
      </c>
      <c r="Y6" s="11" t="s">
        <v>930</v>
      </c>
      <c r="Z6" s="17" t="n">
        <f aca="false">SUMIF(Dados_Tratados!$K$5:$K$104,Y6,Dados_Tratados!$F$5:$F$104)</f>
        <v>116900</v>
      </c>
    </row>
    <row r="7" customFormat="false" ht="15" hidden="false" customHeight="false" outlineLevel="0" collapsed="false">
      <c r="A7" s="13" t="n">
        <v>2025</v>
      </c>
      <c r="B7" s="17" t="n">
        <f aca="false">SUMPRODUCT((LEFT(Dados_Tratados!$M$5:$M$104,4)=TEXT(A7,"0"))*Dados_Tratados!$F$5:$F$104)</f>
        <v>2167500</v>
      </c>
      <c r="E7" s="11" t="s">
        <v>81</v>
      </c>
      <c r="F7" s="17" t="n">
        <f aca="false">SUMIF(Dados_Tratados!$H$5:$H$104,E7,Dados_Tratados!$F$5:$F$104)</f>
        <v>1987700</v>
      </c>
      <c r="I7" s="11" t="s">
        <v>874</v>
      </c>
      <c r="J7" s="13" t="n">
        <f aca="false">COUNTIF(Dados_Tratados!$L$5:$L$104,I7)</f>
        <v>4</v>
      </c>
      <c r="M7" s="11" t="s">
        <v>629</v>
      </c>
      <c r="N7" s="17" t="n">
        <f aca="false">SUMIF(Dados_Tratados!$D$5:$D$104,M7,Dados_Tratados!$F$5:$F$104)</f>
        <v>91500</v>
      </c>
      <c r="Q7" s="11" t="s">
        <v>407</v>
      </c>
      <c r="R7" s="17" t="n">
        <f aca="false">SUMIF(Dados_Tratados!$J$5:$J$104,Q7,Dados_Tratados!$F$5:$F$104)</f>
        <v>695950</v>
      </c>
      <c r="Y7" s="11" t="s">
        <v>1005</v>
      </c>
      <c r="Z7" s="17" t="n">
        <f aca="false">SUMIF(Dados_Tratados!$K$5:$K$104,Y7,Dados_Tratados!$F$5:$F$104)</f>
        <v>84500</v>
      </c>
    </row>
    <row r="8" customFormat="false" ht="15" hidden="false" customHeight="false" outlineLevel="0" collapsed="false">
      <c r="A8" s="13" t="n">
        <v>2026</v>
      </c>
      <c r="B8" s="17" t="n">
        <f aca="false">SUMPRODUCT((LEFT(Dados_Tratados!$M$5:$M$104,4)=TEXT(A8,"0"))*Dados_Tratados!$F$5:$F$104)</f>
        <v>3901150</v>
      </c>
      <c r="E8" s="11" t="s">
        <v>872</v>
      </c>
      <c r="F8" s="17" t="n">
        <f aca="false">SUMIF(Dados_Tratados!$H$5:$H$104,E8,Dados_Tratados!$F$5:$F$104)</f>
        <v>326350</v>
      </c>
      <c r="I8" s="11" t="s">
        <v>320</v>
      </c>
      <c r="J8" s="13" t="n">
        <f aca="false">COUNTIF(Dados_Tratados!$L$5:$L$104,I8)</f>
        <v>15</v>
      </c>
      <c r="M8" s="11" t="s">
        <v>17</v>
      </c>
      <c r="N8" s="17" t="n">
        <f aca="false">SUMIF(Dados_Tratados!$D$5:$D$104,M8,Dados_Tratados!$F$5:$F$104)</f>
        <v>228300</v>
      </c>
      <c r="Q8" s="11" t="s">
        <v>106</v>
      </c>
      <c r="R8" s="17" t="n">
        <f aca="false">SUMIF(Dados_Tratados!$J$5:$J$104,Q8,Dados_Tratados!$F$5:$F$104)</f>
        <v>1973350</v>
      </c>
      <c r="Y8" s="11" t="s">
        <v>850</v>
      </c>
      <c r="Z8" s="17" t="n">
        <f aca="false">SUMIF(Dados_Tratados!$K$5:$K$104,Y8,Dados_Tratados!$F$5:$F$104)</f>
        <v>235000</v>
      </c>
    </row>
    <row r="9" customFormat="false" ht="15" hidden="false" customHeight="false" outlineLevel="0" collapsed="false">
      <c r="A9" s="13" t="n">
        <v>2027</v>
      </c>
      <c r="B9" s="17" t="n">
        <f aca="false">SUMPRODUCT((LEFT(Dados_Tratados!$M$5:$M$104,4)=TEXT(A9,"0"))*Dados_Tratados!$F$5:$F$104)</f>
        <v>1979000</v>
      </c>
      <c r="E9" s="11" t="s">
        <v>189</v>
      </c>
      <c r="F9" s="17" t="n">
        <f aca="false">SUMIF(Dados_Tratados!$H$5:$H$104,E9,Dados_Tratados!$F$5:$F$104)</f>
        <v>900500</v>
      </c>
      <c r="I9" s="11" t="s">
        <v>902</v>
      </c>
      <c r="J9" s="13" t="n">
        <f aca="false">COUNTIF(Dados_Tratados!$L$5:$L$104,I9)</f>
        <v>4</v>
      </c>
      <c r="M9" s="11" t="s">
        <v>293</v>
      </c>
      <c r="N9" s="17" t="n">
        <f aca="false">SUMIF(Dados_Tratados!$D$5:$D$104,M9,Dados_Tratados!$F$5:$F$104)</f>
        <v>350000</v>
      </c>
      <c r="Q9" s="11" t="s">
        <v>856</v>
      </c>
      <c r="R9" s="17" t="n">
        <f aca="false">SUMIF(Dados_Tratados!$J$5:$J$104,Q9,Dados_Tratados!$F$5:$F$104)</f>
        <v>337600</v>
      </c>
      <c r="Y9" s="11" t="s">
        <v>944</v>
      </c>
      <c r="Z9" s="17" t="n">
        <f aca="false">SUMIF(Dados_Tratados!$K$5:$K$104,Y9,Dados_Tratados!$F$5:$F$104)</f>
        <v>255000</v>
      </c>
    </row>
    <row r="10" customFormat="false" ht="15" hidden="false" customHeight="false" outlineLevel="0" collapsed="false">
      <c r="E10" s="11" t="s">
        <v>370</v>
      </c>
      <c r="F10" s="17" t="n">
        <f aca="false">SUMIF(Dados_Tratados!$H$5:$H$104,E10,Dados_Tratados!$F$5:$F$104)</f>
        <v>3979450</v>
      </c>
      <c r="I10" s="11" t="s">
        <v>883</v>
      </c>
      <c r="J10" s="13" t="n">
        <f aca="false">COUNTIF(Dados_Tratados!$L$5:$L$104,I10)</f>
        <v>5</v>
      </c>
      <c r="M10" s="11" t="s">
        <v>671</v>
      </c>
      <c r="N10" s="17" t="n">
        <f aca="false">SUMIF(Dados_Tratados!$D$5:$D$104,M10,Dados_Tratados!$F$5:$F$104)</f>
        <v>82750</v>
      </c>
      <c r="Q10" s="11" t="s">
        <v>83</v>
      </c>
      <c r="R10" s="17" t="n">
        <f aca="false">SUMIF(Dados_Tratados!$J$5:$J$104,Q10,Dados_Tratados!$F$5:$F$104)</f>
        <v>566600</v>
      </c>
      <c r="Y10" s="11" t="s">
        <v>160</v>
      </c>
      <c r="Z10" s="17" t="n">
        <f aca="false">SUMIF(Dados_Tratados!$K$5:$K$104,Y10,Dados_Tratados!$F$5:$F$104)</f>
        <v>263600</v>
      </c>
    </row>
    <row r="11" customFormat="false" ht="15" hidden="false" customHeight="false" outlineLevel="0" collapsed="false">
      <c r="E11" s="11" t="s">
        <v>878</v>
      </c>
      <c r="F11" s="17" t="n">
        <f aca="false">SUMIF(Dados_Tratados!$H$5:$H$104,E11,Dados_Tratados!$F$5:$F$104)</f>
        <v>543000.5</v>
      </c>
      <c r="I11" s="11" t="s">
        <v>61</v>
      </c>
      <c r="J11" s="13" t="n">
        <f aca="false">COUNTIF(Dados_Tratados!$L$5:$L$104,I11)</f>
        <v>17</v>
      </c>
      <c r="M11" s="11" t="s">
        <v>196</v>
      </c>
      <c r="N11" s="17" t="n">
        <f aca="false">SUMIF(Dados_Tratados!$D$5:$D$104,M11,Dados_Tratados!$F$5:$F$104)</f>
        <v>333000</v>
      </c>
      <c r="Q11" s="11" t="s">
        <v>461</v>
      </c>
      <c r="R11" s="17" t="n">
        <f aca="false">SUMIF(Dados_Tratados!$J$5:$J$104,Q11,Dados_Tratados!$F$5:$F$104)</f>
        <v>434800</v>
      </c>
      <c r="Y11" s="11" t="s">
        <v>586</v>
      </c>
      <c r="Z11" s="17" t="n">
        <f aca="false">SUMIF(Dados_Tratados!$K$5:$K$104,Y11,Dados_Tratados!$F$5:$F$104)</f>
        <v>176400</v>
      </c>
    </row>
    <row r="12" customFormat="false" ht="15" hidden="false" customHeight="false" outlineLevel="0" collapsed="false">
      <c r="E12" s="11" t="s">
        <v>127</v>
      </c>
      <c r="F12" s="17" t="n">
        <f aca="false">SUMIF(Dados_Tratados!$H$5:$H$104,E12,Dados_Tratados!$F$5:$F$104)</f>
        <v>1426650</v>
      </c>
      <c r="I12" s="11" t="s">
        <v>870</v>
      </c>
      <c r="J12" s="13" t="n">
        <f aca="false">COUNTIF(Dados_Tratados!$L$5:$L$104,I12)</f>
        <v>4</v>
      </c>
      <c r="M12" s="11" t="s">
        <v>345</v>
      </c>
      <c r="N12" s="17" t="n">
        <f aca="false">SUMIF(Dados_Tratados!$D$5:$D$104,M12,Dados_Tratados!$F$5:$F$104)</f>
        <v>251400</v>
      </c>
      <c r="Q12" s="11" t="s">
        <v>509</v>
      </c>
      <c r="R12" s="17" t="n">
        <f aca="false">SUMIF(Dados_Tratados!$J$5:$J$104,Q12,Dados_Tratados!$F$5:$F$104)</f>
        <v>104600</v>
      </c>
      <c r="Y12" s="11" t="s">
        <v>540</v>
      </c>
      <c r="Z12" s="17" t="n">
        <f aca="false">SUMIF(Dados_Tratados!$K$5:$K$104,Y12,Dados_Tratados!$F$5:$F$104)</f>
        <v>268900</v>
      </c>
    </row>
    <row r="13" customFormat="false" ht="15" hidden="false" customHeight="false" outlineLevel="0" collapsed="false">
      <c r="E13" s="11" t="s">
        <v>866</v>
      </c>
      <c r="F13" s="17" t="n">
        <f aca="false">SUMIF(Dados_Tratados!$H$5:$H$104,E13,Dados_Tratados!$F$5:$F$104)</f>
        <v>1254600</v>
      </c>
      <c r="I13" s="11" t="s">
        <v>918</v>
      </c>
      <c r="J13" s="13" t="n">
        <f aca="false">COUNTIF(Dados_Tratados!$L$5:$L$104,I13)</f>
        <v>2</v>
      </c>
      <c r="M13" s="11" t="s">
        <v>176</v>
      </c>
      <c r="N13" s="17" t="n">
        <f aca="false">SUMIF(Dados_Tratados!$D$5:$D$104,M13,Dados_Tratados!$F$5:$F$104)</f>
        <v>259800</v>
      </c>
      <c r="Q13" s="11" t="s">
        <v>1001</v>
      </c>
      <c r="R13" s="17" t="n">
        <f aca="false">SUMIF(Dados_Tratados!$J$5:$J$104,Q13,Dados_Tratados!$F$5:$F$104)</f>
        <v>224000</v>
      </c>
      <c r="Y13" s="11" t="s">
        <v>289</v>
      </c>
      <c r="Z13" s="17" t="n">
        <f aca="false">SUMIF(Dados_Tratados!$K$5:$K$104,Y13,Dados_Tratados!$F$5:$F$104)</f>
        <v>76800</v>
      </c>
    </row>
    <row r="14" customFormat="false" ht="15" hidden="false" customHeight="false" outlineLevel="0" collapsed="false">
      <c r="E14" s="11" t="s">
        <v>882</v>
      </c>
      <c r="F14" s="17" t="n">
        <f aca="false">SUMIF(Dados_Tratados!$H$5:$H$104,E14,Dados_Tratados!$F$5:$F$104)</f>
        <v>1083000</v>
      </c>
      <c r="I14" s="11" t="s">
        <v>964</v>
      </c>
      <c r="J14" s="13" t="n">
        <f aca="false">COUNTIF(Dados_Tratados!$L$5:$L$104,I14)</f>
        <v>1</v>
      </c>
      <c r="M14" s="11" t="s">
        <v>303</v>
      </c>
      <c r="N14" s="17" t="n">
        <f aca="false">SUMIF(Dados_Tratados!$D$5:$D$104,M14,Dados_Tratados!$F$5:$F$104)</f>
        <v>241650</v>
      </c>
      <c r="Q14" s="11" t="s">
        <v>118</v>
      </c>
      <c r="R14" s="17" t="n">
        <f aca="false">SUMIF(Dados_Tratados!$J$5:$J$104,Q14,Dados_Tratados!$F$5:$F$104)</f>
        <v>166100</v>
      </c>
      <c r="Y14" s="11" t="s">
        <v>618</v>
      </c>
      <c r="Z14" s="17" t="n">
        <f aca="false">SUMIF(Dados_Tratados!$K$5:$K$104,Y14,Dados_Tratados!$F$5:$F$104)</f>
        <v>99950</v>
      </c>
    </row>
    <row r="15" customFormat="false" ht="15" hidden="false" customHeight="false" outlineLevel="0" collapsed="false">
      <c r="I15" s="11" t="s">
        <v>863</v>
      </c>
      <c r="J15" s="13" t="n">
        <f aca="false">COUNTIF(Dados_Tratados!$L$5:$L$104,I15)</f>
        <v>7</v>
      </c>
      <c r="M15" s="11" t="s">
        <v>89</v>
      </c>
      <c r="N15" s="17" t="n">
        <f aca="false">SUMIF(Dados_Tratados!$D$5:$D$104,M15,Dados_Tratados!$F$5:$F$104)</f>
        <v>200900</v>
      </c>
      <c r="Q15" s="11" t="s">
        <v>911</v>
      </c>
      <c r="R15" s="17" t="n">
        <f aca="false">SUMIF(Dados_Tratados!$J$5:$J$104,Q15,Dados_Tratados!$F$5:$F$104)</f>
        <v>119900</v>
      </c>
      <c r="Y15" s="11" t="s">
        <v>48</v>
      </c>
      <c r="Z15" s="17" t="n">
        <f aca="false">SUMIF(Dados_Tratados!$K$5:$K$104,Y15,Dados_Tratados!$F$5:$F$104)</f>
        <v>182550</v>
      </c>
    </row>
    <row r="16" customFormat="false" ht="15" hidden="false" customHeight="false" outlineLevel="0" collapsed="false">
      <c r="M16" s="11" t="s">
        <v>261</v>
      </c>
      <c r="N16" s="17" t="n">
        <f aca="false">SUMIF(Dados_Tratados!$D$5:$D$104,M16,Dados_Tratados!$F$5:$F$104)</f>
        <v>810600</v>
      </c>
      <c r="Q16" s="11" t="s">
        <v>957</v>
      </c>
      <c r="R16" s="17" t="n">
        <f aca="false">SUMIF(Dados_Tratados!$J$5:$J$104,Q16,Dados_Tratados!$F$5:$F$104)</f>
        <v>351600</v>
      </c>
      <c r="Y16" s="11" t="s">
        <v>469</v>
      </c>
      <c r="Z16" s="17" t="n">
        <f aca="false">SUMIF(Dados_Tratados!$K$5:$K$104,Y16,Dados_Tratados!$F$5:$F$104)</f>
        <v>141800</v>
      </c>
    </row>
    <row r="17" customFormat="false" ht="15" hidden="false" customHeight="false" outlineLevel="0" collapsed="false">
      <c r="M17" s="11" t="s">
        <v>143</v>
      </c>
      <c r="N17" s="17" t="n">
        <f aca="false">SUMIF(Dados_Tratados!$D$5:$D$104,M17,Dados_Tratados!$F$5:$F$104)</f>
        <v>697500</v>
      </c>
      <c r="Q17" s="11" t="s">
        <v>532</v>
      </c>
      <c r="R17" s="17" t="n">
        <f aca="false">SUMIF(Dados_Tratados!$J$5:$J$104,Q17,Dados_Tratados!$F$5:$F$104)</f>
        <v>169000</v>
      </c>
      <c r="Y17" s="11" t="s">
        <v>192</v>
      </c>
      <c r="Z17" s="17" t="n">
        <f aca="false">SUMIF(Dados_Tratados!$K$5:$K$104,Y17,Dados_Tratados!$F$5:$F$104)</f>
        <v>141650</v>
      </c>
    </row>
    <row r="18" customFormat="false" ht="15" hidden="false" customHeight="false" outlineLevel="0" collapsed="false">
      <c r="M18" s="11" t="s">
        <v>435</v>
      </c>
      <c r="N18" s="17" t="n">
        <f aca="false">SUMIF(Dados_Tratados!$D$5:$D$104,M18,Dados_Tratados!$F$5:$F$104)</f>
        <v>286500</v>
      </c>
      <c r="Q18" s="11" t="s">
        <v>960</v>
      </c>
      <c r="R18" s="17" t="n">
        <f aca="false">SUMIF(Dados_Tratados!$J$5:$J$104,Q18,Dados_Tratados!$F$5:$F$104)</f>
        <v>361400</v>
      </c>
      <c r="Y18" s="11" t="s">
        <v>224</v>
      </c>
      <c r="Z18" s="17" t="n">
        <f aca="false">SUMIF(Dados_Tratados!$K$5:$K$104,Y18,Dados_Tratados!$F$5:$F$104)</f>
        <v>202300</v>
      </c>
    </row>
    <row r="19" customFormat="false" ht="15" hidden="false" customHeight="false" outlineLevel="0" collapsed="false">
      <c r="M19" s="11" t="s">
        <v>473</v>
      </c>
      <c r="N19" s="17" t="n">
        <f aca="false">SUMIF(Dados_Tratados!$D$5:$D$104,M19,Dados_Tratados!$F$5:$F$104)</f>
        <v>284500</v>
      </c>
      <c r="Q19" s="11" t="s">
        <v>845</v>
      </c>
      <c r="R19" s="17" t="n">
        <f aca="false">SUMIF(Dados_Tratados!$J$5:$J$104,Q19,Dados_Tratados!$F$5:$F$104)</f>
        <v>328800</v>
      </c>
      <c r="Y19" s="11" t="s">
        <v>495</v>
      </c>
      <c r="Z19" s="17" t="n">
        <f aca="false">SUMIF(Dados_Tratados!$K$5:$K$104,Y19,Dados_Tratados!$F$5:$F$104)</f>
        <v>351600</v>
      </c>
    </row>
    <row r="20" customFormat="false" ht="15" hidden="false" customHeight="false" outlineLevel="0" collapsed="false">
      <c r="M20" s="11" t="s">
        <v>229</v>
      </c>
      <c r="N20" s="17" t="n">
        <f aca="false">SUMIF(Dados_Tratados!$D$5:$D$104,M20,Dados_Tratados!$F$5:$F$104)</f>
        <v>315250</v>
      </c>
      <c r="Q20" s="11" t="s">
        <v>906</v>
      </c>
      <c r="R20" s="17" t="n">
        <f aca="false">SUMIF(Dados_Tratados!$J$5:$J$104,Q20,Dados_Tratados!$F$5:$F$104)</f>
        <v>76800</v>
      </c>
      <c r="Y20" s="11" t="s">
        <v>923</v>
      </c>
      <c r="Z20" s="17" t="n">
        <f aca="false">SUMIF(Dados_Tratados!$K$5:$K$104,Y20,Dados_Tratados!$F$5:$F$104)</f>
        <v>98200</v>
      </c>
    </row>
    <row r="21" customFormat="false" ht="15" hidden="false" customHeight="false" outlineLevel="0" collapsed="false">
      <c r="M21" s="11" t="s">
        <v>395</v>
      </c>
      <c r="N21" s="17" t="n">
        <f aca="false">SUMIF(Dados_Tratados!$D$5:$D$104,M21,Dados_Tratados!$F$5:$F$104)</f>
        <v>198300</v>
      </c>
      <c r="Q21" s="11" t="s">
        <v>895</v>
      </c>
      <c r="R21" s="17" t="n">
        <f aca="false">SUMIF(Dados_Tratados!$J$5:$J$104,Q21,Dados_Tratados!$F$5:$F$104)</f>
        <v>158750</v>
      </c>
      <c r="Y21" s="11" t="s">
        <v>340</v>
      </c>
      <c r="Z21" s="17" t="n">
        <f aca="false">SUMIF(Dados_Tratados!$K$5:$K$104,Y21,Dados_Tratados!$F$5:$F$104)</f>
        <v>214000</v>
      </c>
    </row>
    <row r="22" customFormat="false" ht="15" hidden="false" customHeight="false" outlineLevel="0" collapsed="false">
      <c r="M22" s="11" t="s">
        <v>29</v>
      </c>
      <c r="N22" s="17" t="n">
        <f aca="false">SUMIF(Dados_Tratados!$D$5:$D$104,M22,Dados_Tratados!$F$5:$F$104)</f>
        <v>726300</v>
      </c>
      <c r="Q22" s="11" t="s">
        <v>382</v>
      </c>
      <c r="R22" s="17" t="n">
        <f aca="false">SUMIF(Dados_Tratados!$J$5:$J$104,Q22,Dados_Tratados!$F$5:$F$104)</f>
        <v>178750</v>
      </c>
      <c r="Y22" s="11" t="s">
        <v>579</v>
      </c>
      <c r="Z22" s="17" t="n">
        <f aca="false">SUMIF(Dados_Tratados!$K$5:$K$104,Y22,Dados_Tratados!$F$5:$F$104)</f>
        <v>132000</v>
      </c>
    </row>
    <row r="23" customFormat="false" ht="15" hidden="false" customHeight="false" outlineLevel="0" collapsed="false">
      <c r="M23" s="11" t="s">
        <v>283</v>
      </c>
      <c r="N23" s="17" t="n">
        <f aca="false">SUMIF(Dados_Tratados!$D$5:$D$104,M23,Dados_Tratados!$F$5:$F$104)</f>
        <v>239700</v>
      </c>
      <c r="Q23" s="11" t="s">
        <v>277</v>
      </c>
      <c r="R23" s="17" t="n">
        <f aca="false">SUMIF(Dados_Tratados!$J$5:$J$104,Q23,Dados_Tratados!$F$5:$F$104)</f>
        <v>510100</v>
      </c>
      <c r="Y23" s="11" t="s">
        <v>547</v>
      </c>
      <c r="Z23" s="17" t="n">
        <f aca="false">SUMIF(Dados_Tratados!$K$5:$K$104,Y23,Dados_Tratados!$F$5:$F$104)</f>
        <v>101300</v>
      </c>
    </row>
    <row r="24" customFormat="false" ht="15" hidden="false" customHeight="false" outlineLevel="0" collapsed="false">
      <c r="M24" s="11" t="s">
        <v>41</v>
      </c>
      <c r="N24" s="17" t="n">
        <f aca="false">SUMIF(Dados_Tratados!$D$5:$D$104,M24,Dados_Tratados!$F$5:$F$104)</f>
        <v>436250</v>
      </c>
      <c r="Q24" s="11" t="s">
        <v>934</v>
      </c>
      <c r="R24" s="17" t="n">
        <f aca="false">SUMIF(Dados_Tratados!$J$5:$J$104,Q24,Dados_Tratados!$F$5:$F$104)</f>
        <v>292000</v>
      </c>
      <c r="Y24" s="11" t="s">
        <v>299</v>
      </c>
      <c r="Z24" s="17" t="n">
        <f aca="false">SUMIF(Dados_Tratados!$K$5:$K$104,Y24,Dados_Tratados!$F$5:$F$104)</f>
        <v>173600</v>
      </c>
    </row>
    <row r="25" customFormat="false" ht="15" hidden="false" customHeight="false" outlineLevel="0" collapsed="false">
      <c r="M25" s="11" t="s">
        <v>101</v>
      </c>
      <c r="N25" s="17" t="n">
        <f aca="false">SUMIF(Dados_Tratados!$D$5:$D$104,M25,Dados_Tratados!$F$5:$F$104)</f>
        <v>373650</v>
      </c>
      <c r="Q25" s="11" t="s">
        <v>617</v>
      </c>
      <c r="R25" s="17" t="n">
        <f aca="false">SUMIF(Dados_Tratados!$J$5:$J$104,Q25,Dados_Tratados!$F$5:$F$104)</f>
        <v>208450</v>
      </c>
      <c r="Y25" s="11" t="s">
        <v>119</v>
      </c>
      <c r="Z25" s="17" t="n">
        <f aca="false">SUMIF(Dados_Tratados!$K$5:$K$104,Y25,Dados_Tratados!$F$5:$F$104)</f>
        <v>73500</v>
      </c>
    </row>
    <row r="26" customFormat="false" ht="15" hidden="false" customHeight="false" outlineLevel="0" collapsed="false">
      <c r="M26" s="11" t="s">
        <v>218</v>
      </c>
      <c r="N26" s="17" t="n">
        <f aca="false">SUMIF(Dados_Tratados!$D$5:$D$104,M26,Dados_Tratados!$F$5:$F$104)</f>
        <v>289450</v>
      </c>
      <c r="Q26" s="11" t="s">
        <v>936</v>
      </c>
      <c r="R26" s="17" t="n">
        <f aca="false">SUMIF(Dados_Tratados!$J$5:$J$104,Q26,Dados_Tratados!$F$5:$F$104)</f>
        <v>198300</v>
      </c>
      <c r="Y26" s="11" t="s">
        <v>625</v>
      </c>
      <c r="Z26" s="17" t="n">
        <f aca="false">SUMIF(Dados_Tratados!$K$5:$K$104,Y26,Dados_Tratados!$F$5:$F$104)</f>
        <v>121750</v>
      </c>
    </row>
    <row r="27" customFormat="false" ht="15" hidden="false" customHeight="false" outlineLevel="0" collapsed="false">
      <c r="M27" s="11" t="s">
        <v>489</v>
      </c>
      <c r="N27" s="17" t="n">
        <f aca="false">SUMIF(Dados_Tratados!$D$5:$D$104,M27,Dados_Tratados!$F$5:$F$104)</f>
        <v>146800</v>
      </c>
      <c r="Q27" s="11" t="s">
        <v>148</v>
      </c>
      <c r="R27" s="17" t="n">
        <f aca="false">SUMIF(Dados_Tratados!$J$5:$J$104,Q27,Dados_Tratados!$F$5:$F$104)</f>
        <v>643400</v>
      </c>
      <c r="Y27" s="11" t="s">
        <v>446</v>
      </c>
      <c r="Z27" s="17" t="n">
        <f aca="false">SUMIF(Dados_Tratados!$K$5:$K$104,Y27,Dados_Tratados!$F$5:$F$104)</f>
        <v>189600</v>
      </c>
    </row>
    <row r="28" customFormat="false" ht="15" hidden="false" customHeight="false" outlineLevel="0" collapsed="false">
      <c r="M28" s="11" t="s">
        <v>165</v>
      </c>
      <c r="N28" s="17" t="n">
        <f aca="false">SUMIF(Dados_Tratados!$D$5:$D$104,M28,Dados_Tratados!$F$5:$F$104)</f>
        <v>592800</v>
      </c>
      <c r="Q28" s="11" t="s">
        <v>867</v>
      </c>
      <c r="R28" s="17" t="n">
        <f aca="false">SUMIF(Dados_Tratados!$J$5:$J$104,Q28,Dados_Tratados!$F$5:$F$104)</f>
        <v>230300</v>
      </c>
      <c r="Y28" s="11" t="s">
        <v>408</v>
      </c>
      <c r="Z28" s="17" t="n">
        <f aca="false">SUMIF(Dados_Tratados!$K$5:$K$104,Y28,Dados_Tratados!$F$5:$F$104)</f>
        <v>212500</v>
      </c>
    </row>
    <row r="29" customFormat="false" ht="15" hidden="false" customHeight="false" outlineLevel="0" collapsed="false">
      <c r="M29" s="11" t="s">
        <v>186</v>
      </c>
      <c r="N29" s="17" t="n">
        <f aca="false">SUMIF(Dados_Tratados!$D$5:$D$104,M29,Dados_Tratados!$F$5:$F$104)</f>
        <v>185400</v>
      </c>
      <c r="Q29" s="11" t="s">
        <v>908</v>
      </c>
      <c r="R29" s="17" t="n">
        <f aca="false">SUMIF(Dados_Tratados!$J$5:$J$104,Q29,Dados_Tratados!$F$5:$F$104)</f>
        <v>523850</v>
      </c>
      <c r="Y29" s="11" t="s">
        <v>319</v>
      </c>
      <c r="Z29" s="17" t="n">
        <f aca="false">SUMIF(Dados_Tratados!$K$5:$K$104,Y29,Dados_Tratados!$F$5:$F$104)</f>
        <v>109250</v>
      </c>
    </row>
    <row r="30" customFormat="false" ht="15" hidden="false" customHeight="false" outlineLevel="0" collapsed="false">
      <c r="M30" s="11" t="s">
        <v>252</v>
      </c>
      <c r="N30" s="17" t="n">
        <f aca="false">SUMIF(Dados_Tratados!$D$5:$D$104,M30,Dados_Tratados!$F$5:$F$104)</f>
        <v>360100</v>
      </c>
      <c r="Q30" s="11" t="s">
        <v>484</v>
      </c>
      <c r="R30" s="17" t="n">
        <f aca="false">SUMIF(Dados_Tratados!$J$5:$J$104,Q30,Dados_Tratados!$F$5:$F$104)</f>
        <v>209000</v>
      </c>
      <c r="Y30" s="11" t="s">
        <v>564</v>
      </c>
      <c r="Z30" s="17" t="n">
        <f aca="false">SUMIF(Dados_Tratados!$K$5:$K$104,Y30,Dados_Tratados!$F$5:$F$104)</f>
        <v>127900</v>
      </c>
    </row>
    <row r="31" customFormat="false" ht="15" hidden="false" customHeight="false" outlineLevel="0" collapsed="false">
      <c r="M31" s="11" t="s">
        <v>124</v>
      </c>
      <c r="N31" s="17" t="n">
        <f aca="false">SUMIF(Dados_Tratados!$D$5:$D$104,M31,Dados_Tratados!$F$5:$F$104)</f>
        <v>285400</v>
      </c>
      <c r="Q31" s="11" t="s">
        <v>201</v>
      </c>
      <c r="R31" s="17" t="n">
        <f aca="false">SUMIF(Dados_Tratados!$J$5:$J$104,Q31,Dados_Tratados!$F$5:$F$104)</f>
        <v>164000</v>
      </c>
      <c r="Y31" s="11" t="s">
        <v>130</v>
      </c>
      <c r="Z31" s="17" t="n">
        <f aca="false">SUMIF(Dados_Tratados!$K$5:$K$104,Y31,Dados_Tratados!$F$5:$F$104)</f>
        <v>95000</v>
      </c>
    </row>
    <row r="32" customFormat="false" ht="15" hidden="false" customHeight="false" outlineLevel="0" collapsed="false">
      <c r="M32" s="11" t="s">
        <v>53</v>
      </c>
      <c r="N32" s="17" t="n">
        <f aca="false">SUMIF(Dados_Tratados!$D$5:$D$104,M32,Dados_Tratados!$F$5:$F$104)</f>
        <v>205450</v>
      </c>
      <c r="Q32" s="11" t="s">
        <v>563</v>
      </c>
      <c r="R32" s="17" t="n">
        <f aca="false">SUMIF(Dados_Tratados!$J$5:$J$104,Q32,Dados_Tratados!$F$5:$F$104)</f>
        <v>199900</v>
      </c>
      <c r="Y32" s="11" t="s">
        <v>633</v>
      </c>
      <c r="Z32" s="17" t="n">
        <f aca="false">SUMIF(Dados_Tratados!$K$5:$K$104,Y32,Dados_Tratados!$F$5:$F$104)</f>
        <v>91500</v>
      </c>
    </row>
    <row r="33" customFormat="false" ht="15" hidden="false" customHeight="false" outlineLevel="0" collapsed="false">
      <c r="M33" s="11" t="s">
        <v>324</v>
      </c>
      <c r="N33" s="17" t="n">
        <f aca="false">SUMIF(Dados_Tratados!$D$5:$D$104,M33,Dados_Tratados!$F$5:$F$104)</f>
        <v>302000</v>
      </c>
      <c r="Q33" s="11" t="s">
        <v>223</v>
      </c>
      <c r="R33" s="17" t="n">
        <f aca="false">SUMIF(Dados_Tratados!$J$5:$J$104,Q33,Dados_Tratados!$F$5:$F$104)</f>
        <v>91300</v>
      </c>
      <c r="Y33" s="11" t="s">
        <v>422</v>
      </c>
      <c r="Z33" s="17" t="n">
        <f aca="false">SUMIF(Dados_Tratados!$K$5:$K$104,Y33,Dados_Tratados!$F$5:$F$104)</f>
        <v>293000</v>
      </c>
    </row>
    <row r="34" customFormat="false" ht="15" hidden="false" customHeight="false" outlineLevel="0" collapsed="false">
      <c r="M34" s="11" t="s">
        <v>241</v>
      </c>
      <c r="N34" s="17" t="n">
        <f aca="false">SUMIF(Dados_Tratados!$D$5:$D$104,M34,Dados_Tratados!$F$5:$F$104)</f>
        <v>304400</v>
      </c>
      <c r="Q34" s="11" t="s">
        <v>257</v>
      </c>
      <c r="R34" s="17" t="n">
        <f aca="false">SUMIF(Dados_Tratados!$J$5:$J$104,Q34,Dados_Tratados!$F$5:$F$104)</f>
        <v>2023400.5</v>
      </c>
      <c r="Y34" s="11" t="s">
        <v>857</v>
      </c>
      <c r="Z34" s="17" t="n">
        <f aca="false">SUMIF(Dados_Tratados!$K$5:$K$104,Y34,Dados_Tratados!$F$5:$F$104)</f>
        <v>201600</v>
      </c>
    </row>
    <row r="35" customFormat="false" ht="15" hidden="false" customHeight="false" outlineLevel="0" collapsed="false">
      <c r="M35" s="11" t="s">
        <v>77</v>
      </c>
      <c r="N35" s="17" t="n">
        <f aca="false">SUMIF(Dados_Tratados!$D$5:$D$104,M35,Dados_Tratados!$F$5:$F$104)</f>
        <v>205800</v>
      </c>
      <c r="Q35" s="11" t="s">
        <v>901</v>
      </c>
      <c r="R35" s="17" t="n">
        <f aca="false">SUMIF(Dados_Tratados!$J$5:$J$104,Q35,Dados_Tratados!$F$5:$F$104)</f>
        <v>270000</v>
      </c>
      <c r="Y35" s="11" t="s">
        <v>278</v>
      </c>
      <c r="Z35" s="17" t="n">
        <f aca="false">SUMIF(Dados_Tratados!$K$5:$K$104,Y35,Dados_Tratados!$F$5:$F$104)</f>
        <v>139000</v>
      </c>
    </row>
    <row r="36" customFormat="false" ht="15" hidden="false" customHeight="false" outlineLevel="0" collapsed="false">
      <c r="M36" s="11" t="s">
        <v>314</v>
      </c>
      <c r="N36" s="17" t="n">
        <f aca="false">SUMIF(Dados_Tratados!$D$5:$D$104,M36,Dados_Tratados!$F$5:$F$104)</f>
        <v>217750</v>
      </c>
      <c r="Q36" s="11" t="s">
        <v>421</v>
      </c>
      <c r="R36" s="17" t="n">
        <f aca="false">SUMIF(Dados_Tratados!$J$5:$J$104,Q36,Dados_Tratados!$F$5:$F$104)</f>
        <v>358700</v>
      </c>
      <c r="Y36" s="11" t="s">
        <v>966</v>
      </c>
      <c r="Z36" s="17" t="n">
        <f aca="false">SUMIF(Dados_Tratados!$K$5:$K$104,Y36,Dados_Tratados!$F$5:$F$104)</f>
        <v>169000</v>
      </c>
    </row>
    <row r="37" customFormat="false" ht="15" hidden="false" customHeight="false" outlineLevel="0" collapsed="false">
      <c r="M37" s="11" t="s">
        <v>377</v>
      </c>
      <c r="N37" s="17" t="n">
        <f aca="false">SUMIF(Dados_Tratados!$D$5:$D$104,M37,Dados_Tratados!$F$5:$F$104)</f>
        <v>231000</v>
      </c>
      <c r="Q37" s="11" t="s">
        <v>849</v>
      </c>
      <c r="R37" s="17" t="n">
        <f aca="false">SUMIF(Dados_Tratados!$J$5:$J$104,Q37,Dados_Tratados!$F$5:$F$104)</f>
        <v>313900</v>
      </c>
      <c r="Y37" s="11" t="s">
        <v>267</v>
      </c>
      <c r="Z37" s="17" t="n">
        <f aca="false">SUMIF(Dados_Tratados!$K$5:$K$104,Y37,Dados_Tratados!$F$5:$F$104)</f>
        <v>494000</v>
      </c>
    </row>
    <row r="38" customFormat="false" ht="15" hidden="false" customHeight="false" outlineLevel="0" collapsed="false">
      <c r="M38" s="11" t="s">
        <v>426</v>
      </c>
      <c r="N38" s="17" t="n">
        <f aca="false">SUMIF(Dados_Tratados!$D$5:$D$104,M38,Dados_Tratados!$F$5:$F$104)</f>
        <v>273500</v>
      </c>
      <c r="Q38" s="11" t="s">
        <v>929</v>
      </c>
      <c r="R38" s="17" t="n">
        <f aca="false">SUMIF(Dados_Tratados!$J$5:$J$104,Q38,Dados_Tratados!$F$5:$F$104)</f>
        <v>211200</v>
      </c>
      <c r="Y38" s="11" t="s">
        <v>524</v>
      </c>
      <c r="Z38" s="17" t="n">
        <f aca="false">SUMIF(Dados_Tratados!$K$5:$K$104,Y38,Dados_Tratados!$F$5:$F$104)</f>
        <v>78400</v>
      </c>
    </row>
    <row r="39" customFormat="false" ht="15" hidden="false" customHeight="false" outlineLevel="0" collapsed="false">
      <c r="M39" s="11" t="s">
        <v>154</v>
      </c>
      <c r="N39" s="17" t="n">
        <f aca="false">SUMIF(Dados_Tratados!$D$5:$D$104,M39,Dados_Tratados!$F$5:$F$104)</f>
        <v>266000</v>
      </c>
      <c r="Y39" s="11" t="s">
        <v>846</v>
      </c>
      <c r="Z39" s="17" t="n">
        <f aca="false">SUMIF(Dados_Tratados!$K$5:$K$104,Y39,Dados_Tratados!$F$5:$F$104)</f>
        <v>206400</v>
      </c>
    </row>
    <row r="40" customFormat="false" ht="15" hidden="false" customHeight="false" outlineLevel="0" collapsed="false">
      <c r="M40" s="11" t="s">
        <v>368</v>
      </c>
      <c r="N40" s="17" t="n">
        <f aca="false">SUMIF(Dados_Tratados!$D$5:$D$104,M40,Dados_Tratados!$F$5:$F$104)</f>
        <v>236800</v>
      </c>
      <c r="Y40" s="11" t="s">
        <v>453</v>
      </c>
      <c r="Z40" s="17" t="n">
        <f aca="false">SUMIF(Dados_Tratados!$K$5:$K$104,Y40,Dados_Tratados!$F$5:$F$104)</f>
        <v>146800</v>
      </c>
    </row>
    <row r="41" customFormat="false" ht="19.5" hidden="false" customHeight="true" outlineLevel="0" collapsed="false">
      <c r="M41" s="11" t="s">
        <v>65</v>
      </c>
      <c r="N41" s="17" t="n">
        <f aca="false">SUMIF(Dados_Tratados!$D$5:$D$104,M41,Dados_Tratados!$F$5:$F$104)</f>
        <v>514300</v>
      </c>
      <c r="Q41" s="14" t="s">
        <v>1062</v>
      </c>
      <c r="R41" s="14"/>
      <c r="Y41" s="11" t="s">
        <v>889</v>
      </c>
      <c r="Z41" s="17" t="n">
        <f aca="false">SUMIF(Dados_Tratados!$K$5:$K$104,Y41,Dados_Tratados!$F$5:$F$104)</f>
        <v>255300</v>
      </c>
    </row>
    <row r="42" customFormat="false" ht="21.75" hidden="false" customHeight="true" outlineLevel="0" collapsed="false">
      <c r="M42" s="11" t="s">
        <v>207</v>
      </c>
      <c r="N42" s="17" t="n">
        <f aca="false">SUMIF(Dados_Tratados!$D$5:$D$104,M42,Dados_Tratados!$F$5:$F$104)</f>
        <v>246400</v>
      </c>
      <c r="Q42" s="3" t="s">
        <v>840</v>
      </c>
      <c r="R42" s="3" t="s">
        <v>1058</v>
      </c>
      <c r="Y42" s="11" t="s">
        <v>415</v>
      </c>
      <c r="Z42" s="17" t="n">
        <f aca="false">SUMIF(Dados_Tratados!$K$5:$K$104,Y42,Dados_Tratados!$F$5:$F$104)</f>
        <v>186200</v>
      </c>
    </row>
    <row r="43" customFormat="false" ht="15" hidden="false" customHeight="false" outlineLevel="0" collapsed="false">
      <c r="M43" s="11" t="s">
        <v>272</v>
      </c>
      <c r="N43" s="17" t="n">
        <f aca="false">SUMIF(Dados_Tratados!$D$5:$D$104,M43,Dados_Tratados!$F$5:$F$104)</f>
        <v>429500</v>
      </c>
      <c r="Q43" s="11" t="str">
        <f aca="false">INDEX($Q$6:$Q$38,MATCH(R43,$R$6:$R$38,0))</f>
        <v>TX</v>
      </c>
      <c r="R43" s="17" t="n">
        <f aca="false">LARGE($R$6:$R$38,1)</f>
        <v>2023400.5</v>
      </c>
      <c r="Y43" s="11" t="s">
        <v>954</v>
      </c>
      <c r="Z43" s="17" t="n">
        <f aca="false">SUMIF(Dados_Tratados!$K$5:$K$104,Y43,Dados_Tratados!$F$5:$F$104)</f>
        <v>284500</v>
      </c>
    </row>
    <row r="44" customFormat="false" ht="15" hidden="false" customHeight="false" outlineLevel="0" collapsed="false">
      <c r="M44" s="11" t="s">
        <v>135</v>
      </c>
      <c r="N44" s="17" t="n">
        <f aca="false">SUMIF(Dados_Tratados!$D$5:$D$104,M44,Dados_Tratados!$F$5:$F$104)</f>
        <v>475700.5</v>
      </c>
      <c r="Q44" s="11" t="str">
        <f aca="false">INDEX($Q$6:$Q$38,MATCH(R44,$R$6:$R$38,0))</f>
        <v>CA</v>
      </c>
      <c r="R44" s="17" t="n">
        <f aca="false">LARGE($R$6:$R$38,2)</f>
        <v>1973350</v>
      </c>
      <c r="Y44" s="11" t="s">
        <v>982</v>
      </c>
      <c r="Z44" s="17" t="n">
        <f aca="false">SUMIF(Dados_Tratados!$K$5:$K$104,Y44,Dados_Tratados!$F$5:$F$104)</f>
        <v>218000</v>
      </c>
    </row>
    <row r="45" customFormat="false" ht="15" hidden="false" customHeight="false" outlineLevel="0" collapsed="false">
      <c r="M45" s="11" t="s">
        <v>334</v>
      </c>
      <c r="N45" s="17" t="n">
        <f aca="false">SUMIF(Dados_Tratados!$D$5:$D$104,M45,Dados_Tratados!$F$5:$F$104)</f>
        <v>432000</v>
      </c>
      <c r="Q45" s="11" t="str">
        <f aca="false">INDEX($Q$6:$Q$38,MATCH(R45,$R$6:$R$38,0))</f>
        <v>AZ</v>
      </c>
      <c r="R45" s="17" t="n">
        <f aca="false">LARGE($R$6:$R$38,3)</f>
        <v>695950</v>
      </c>
      <c r="Y45" s="11" t="s">
        <v>862</v>
      </c>
      <c r="Z45" s="17" t="n">
        <f aca="false">SUMIF(Dados_Tratados!$K$5:$K$104,Y45,Dados_Tratados!$F$5:$F$104)</f>
        <v>104500</v>
      </c>
    </row>
    <row r="46" customFormat="false" ht="15" hidden="false" customHeight="false" outlineLevel="0" collapsed="false">
      <c r="Q46" s="11" t="str">
        <f aca="false">INDEX($Q$6:$Q$38,MATCH(R46,$R$6:$R$38,0))</f>
        <v>NV</v>
      </c>
      <c r="R46" s="17" t="n">
        <f aca="false">LARGE($R$6:$R$38,4)</f>
        <v>643400</v>
      </c>
      <c r="Y46" s="11" t="s">
        <v>912</v>
      </c>
      <c r="Z46" s="17" t="n">
        <f aca="false">SUMIF(Dados_Tratados!$K$5:$K$104,Y46,Dados_Tratados!$F$5:$F$104)</f>
        <v>119900</v>
      </c>
    </row>
    <row r="47" customFormat="false" ht="15" hidden="false" customHeight="false" outlineLevel="0" collapsed="false">
      <c r="Q47" s="11" t="str">
        <f aca="false">INDEX($Q$6:$Q$38,MATCH(R47,$R$6:$R$38,0))</f>
        <v>FL</v>
      </c>
      <c r="R47" s="17" t="n">
        <f aca="false">LARGE($R$6:$R$38,5)</f>
        <v>566600</v>
      </c>
      <c r="Y47" s="11" t="s">
        <v>970</v>
      </c>
      <c r="Z47" s="17" t="n">
        <f aca="false">SUMIF(Dados_Tratados!$K$5:$K$104,Y47,Dados_Tratados!$F$5:$F$104)</f>
        <v>66750</v>
      </c>
    </row>
    <row r="48" customFormat="false" ht="19.5" hidden="false" customHeight="true" outlineLevel="0" collapsed="false">
      <c r="M48" s="14" t="s">
        <v>1063</v>
      </c>
      <c r="N48" s="14"/>
      <c r="Q48" s="11" t="str">
        <f aca="false">INDEX($Q$6:$Q$38,MATCH(R48,$R$6:$R$38,0))</f>
        <v>OH</v>
      </c>
      <c r="R48" s="17" t="n">
        <f aca="false">LARGE($R$6:$R$38,6)</f>
        <v>523850</v>
      </c>
      <c r="Y48" s="11" t="s">
        <v>96</v>
      </c>
      <c r="Z48" s="17" t="n">
        <f aca="false">SUMIF(Dados_Tratados!$K$5:$K$104,Y48,Dados_Tratados!$F$5:$F$104)</f>
        <v>96300</v>
      </c>
    </row>
    <row r="49" customFormat="false" ht="21.75" hidden="false" customHeight="true" outlineLevel="0" collapsed="false">
      <c r="M49" s="3" t="s">
        <v>5</v>
      </c>
      <c r="N49" s="3" t="s">
        <v>1058</v>
      </c>
      <c r="Q49" s="11" t="str">
        <f aca="false">INDEX($Q$6:$Q$38,MATCH(R49,$R$6:$R$38,0))</f>
        <v>NC</v>
      </c>
      <c r="R49" s="17" t="n">
        <f aca="false">LARGE($R$6:$R$38,7)</f>
        <v>510100</v>
      </c>
      <c r="Y49" s="11" t="s">
        <v>485</v>
      </c>
      <c r="Z49" s="17" t="n">
        <f aca="false">SUMIF(Dados_Tratados!$K$5:$K$104,Y49,Dados_Tratados!$F$5:$F$104)</f>
        <v>209000</v>
      </c>
    </row>
    <row r="50" customFormat="false" ht="15" hidden="false" customHeight="false" outlineLevel="0" collapsed="false">
      <c r="M50" s="11" t="str">
        <f aca="false">INDEX($M$6:$M$45,MATCH(N50,$N$6:$N$45,0))</f>
        <v>911 Dakar</v>
      </c>
      <c r="N50" s="17" t="n">
        <f aca="false">LARGE($N$6:$N$45,1)</f>
        <v>810600</v>
      </c>
      <c r="Q50" s="11" t="str">
        <f aca="false">INDEX($Q$6:$Q$38,MATCH(R50,$R$6:$R$38,0))</f>
        <v>GA</v>
      </c>
      <c r="R50" s="17" t="n">
        <f aca="false">LARGE($R$6:$R$38,8)</f>
        <v>434800</v>
      </c>
      <c r="Y50" s="11" t="s">
        <v>214</v>
      </c>
      <c r="Z50" s="17" t="n">
        <f aca="false">SUMIF(Dados_Tratados!$K$5:$K$104,Y50,Dados_Tratados!$F$5:$F$104)</f>
        <v>198400</v>
      </c>
    </row>
    <row r="51" customFormat="false" ht="15" hidden="false" customHeight="false" outlineLevel="0" collapsed="false">
      <c r="M51" s="11" t="str">
        <f aca="false">INDEX($M$6:$M$45,MATCH(N51,$N$6:$N$45,0))</f>
        <v>911 Turbo S</v>
      </c>
      <c r="N51" s="17" t="n">
        <f aca="false">LARGE($N$6:$N$45,2)</f>
        <v>726300</v>
      </c>
      <c r="Q51" s="11" t="str">
        <f aca="false">INDEX($Q$6:$Q$38,MATCH(R51,$R$6:$R$38,0))</f>
        <v>LA</v>
      </c>
      <c r="R51" s="17" t="n">
        <f aca="false">LARGE($R$6:$R$38,9)</f>
        <v>361400</v>
      </c>
      <c r="Y51" s="11" t="s">
        <v>950</v>
      </c>
      <c r="Z51" s="17" t="n">
        <f aca="false">SUMIF(Dados_Tratados!$K$5:$K$104,Y51,Dados_Tratados!$F$5:$F$104)</f>
        <v>307000</v>
      </c>
    </row>
    <row r="52" customFormat="false" ht="15" hidden="false" customHeight="false" outlineLevel="0" collapsed="false">
      <c r="M52" s="11" t="str">
        <f aca="false">INDEX($M$6:$M$45,MATCH(N52,$N$6:$N$45,0))</f>
        <v>911 GT3</v>
      </c>
      <c r="N52" s="17" t="n">
        <f aca="false">LARGE($N$6:$N$45,3)</f>
        <v>697500</v>
      </c>
      <c r="Q52" s="11" t="str">
        <f aca="false">INDEX($Q$6:$Q$38,MATCH(R52,$R$6:$R$38,0))</f>
        <v>VA</v>
      </c>
      <c r="R52" s="17" t="n">
        <f aca="false">LARGE($R$6:$R$38,10)</f>
        <v>358700</v>
      </c>
      <c r="Y52" s="11" t="s">
        <v>937</v>
      </c>
      <c r="Z52" s="17" t="n">
        <f aca="false">SUMIF(Dados_Tratados!$K$5:$K$104,Y52,Dados_Tratados!$F$5:$F$104)</f>
        <v>447600</v>
      </c>
    </row>
    <row r="53" customFormat="false" ht="15" hidden="false" customHeight="false" outlineLevel="0" collapsed="false">
      <c r="M53" s="11" t="str">
        <f aca="false">INDEX($M$6:$M$45,MATCH(N53,$N$6:$N$45,0))</f>
        <v>Cayenne Turbo GT</v>
      </c>
      <c r="N53" s="17" t="n">
        <f aca="false">LARGE($N$6:$N$45,4)</f>
        <v>592800</v>
      </c>
      <c r="Y53" s="11" t="s">
        <v>869</v>
      </c>
      <c r="Z53" s="17" t="n">
        <f aca="false">SUMIF(Dados_Tratados!$K$5:$K$104,Y53,Dados_Tratados!$F$5:$F$104)</f>
        <v>89750</v>
      </c>
    </row>
    <row r="54" customFormat="false" ht="15" hidden="false" customHeight="false" outlineLevel="0" collapsed="false">
      <c r="M54" s="11" t="str">
        <f aca="false">INDEX($M$6:$M$45,MATCH(N54,$N$6:$N$45,0))</f>
        <v>Taycan 4S</v>
      </c>
      <c r="N54" s="17" t="n">
        <f aca="false">LARGE($N$6:$N$45,5)</f>
        <v>514300</v>
      </c>
      <c r="Y54" s="11" t="s">
        <v>921</v>
      </c>
      <c r="Z54" s="17" t="n">
        <f aca="false">SUMIF(Dados_Tratados!$K$5:$K$104,Y54,Dados_Tratados!$F$5:$F$104)</f>
        <v>124500</v>
      </c>
    </row>
    <row r="55" customFormat="false" ht="15" hidden="false" customHeight="false" outlineLevel="0" collapsed="false">
      <c r="M55" s="11" t="str">
        <f aca="false">INDEX($M$6:$M$45,MATCH(N55,$N$6:$N$45,0))</f>
        <v>Taycan Turbo</v>
      </c>
      <c r="N55" s="17" t="n">
        <f aca="false">LARGE($N$6:$N$45,6)</f>
        <v>475700.5</v>
      </c>
      <c r="Y55" s="11" t="s">
        <v>510</v>
      </c>
      <c r="Z55" s="17" t="n">
        <f aca="false">SUMIF(Dados_Tratados!$K$5:$K$104,Y55,Dados_Tratados!$F$5:$F$104)</f>
        <v>104600</v>
      </c>
    </row>
    <row r="56" customFormat="false" ht="15" hidden="false" customHeight="false" outlineLevel="0" collapsed="false">
      <c r="M56" s="11" t="str">
        <f aca="false">INDEX($M$6:$M$45,MATCH(N56,$N$6:$N$45,0))</f>
        <v>Cayenne Coupe</v>
      </c>
      <c r="N56" s="17" t="n">
        <f aca="false">LARGE($N$6:$N$45,7)</f>
        <v>436250</v>
      </c>
      <c r="Y56" s="11" t="s">
        <v>247</v>
      </c>
      <c r="Z56" s="17" t="n">
        <f aca="false">SUMIF(Dados_Tratados!$K$5:$K$104,Y56,Dados_Tratados!$F$5:$F$104)</f>
        <v>191900</v>
      </c>
    </row>
    <row r="57" customFormat="false" ht="15" hidden="false" customHeight="false" outlineLevel="0" collapsed="false">
      <c r="M57" s="11" t="str">
        <f aca="false">INDEX($M$6:$M$45,MATCH(N57,$N$6:$N$45,0))</f>
        <v>Taycan Turbo S</v>
      </c>
      <c r="N57" s="17" t="n">
        <f aca="false">LARGE($N$6:$N$45,8)</f>
        <v>432000</v>
      </c>
      <c r="Y57" s="11" t="s">
        <v>364</v>
      </c>
      <c r="Z57" s="17" t="n">
        <f aca="false">SUMIF(Dados_Tratados!$K$5:$K$104,Y57,Dados_Tratados!$F$5:$F$104)</f>
        <v>67500</v>
      </c>
    </row>
    <row r="58" customFormat="false" ht="15" hidden="false" customHeight="false" outlineLevel="0" collapsed="false">
      <c r="M58" s="11" t="str">
        <f aca="false">INDEX($M$6:$M$45,MATCH(N58,$N$6:$N$45,0))</f>
        <v>Taycan GTS</v>
      </c>
      <c r="N58" s="17" t="n">
        <f aca="false">LARGE($N$6:$N$45,9)</f>
        <v>429500</v>
      </c>
      <c r="Y58" s="11" t="s">
        <v>258</v>
      </c>
      <c r="Z58" s="17" t="n">
        <f aca="false">SUMIF(Dados_Tratados!$K$5:$K$104,Y58,Dados_Tratados!$F$5:$F$104)</f>
        <v>301700</v>
      </c>
    </row>
    <row r="59" customFormat="false" ht="15" hidden="false" customHeight="false" outlineLevel="0" collapsed="false">
      <c r="M59" s="11" t="str">
        <f aca="false">INDEX($M$6:$M$45,MATCH(N59,$N$6:$N$45,0))</f>
        <v>Cayenne E-Hybrid</v>
      </c>
      <c r="N59" s="17" t="n">
        <f aca="false">LARGE($N$6:$N$45,10)</f>
        <v>373650</v>
      </c>
      <c r="Y59" s="11" t="s">
        <v>646</v>
      </c>
      <c r="Z59" s="17" t="n">
        <f aca="false">SUMIF(Dados_Tratados!$K$5:$K$104,Y59,Dados_Tratados!$F$5:$F$104)</f>
        <v>337800</v>
      </c>
    </row>
    <row r="60" customFormat="false" ht="15" hidden="false" customHeight="false" outlineLevel="0" collapsed="false">
      <c r="Y60" s="11" t="s">
        <v>945</v>
      </c>
      <c r="Z60" s="17" t="n">
        <f aca="false">SUMIF(Dados_Tratados!$K$5:$K$104,Y60,Dados_Tratados!$F$5:$F$104)</f>
        <v>519000</v>
      </c>
    </row>
    <row r="61" customFormat="false" ht="15" hidden="false" customHeight="false" outlineLevel="0" collapsed="false">
      <c r="Y61" s="11" t="s">
        <v>667</v>
      </c>
      <c r="Z61" s="17" t="n">
        <f aca="false">SUMIF(Dados_Tratados!$K$5:$K$104,Y61,Dados_Tratados!$F$5:$F$104)</f>
        <v>369800</v>
      </c>
    </row>
    <row r="62" customFormat="false" ht="15" hidden="false" customHeight="false" outlineLevel="0" collapsed="false">
      <c r="Y62" s="11" t="s">
        <v>978</v>
      </c>
      <c r="Z62" s="17" t="n">
        <f aca="false">SUMIF(Dados_Tratados!$K$5:$K$104,Y62,Dados_Tratados!$F$5:$F$104)</f>
        <v>108500</v>
      </c>
    </row>
    <row r="63" customFormat="false" ht="15" hidden="false" customHeight="false" outlineLevel="0" collapsed="false">
      <c r="Y63" s="11" t="s">
        <v>879</v>
      </c>
      <c r="Z63" s="17" t="n">
        <f aca="false">SUMIF(Dados_Tratados!$K$5:$K$104,Y63,Dados_Tratados!$F$5:$F$104)</f>
        <v>287200.5</v>
      </c>
    </row>
    <row r="64" customFormat="false" ht="15" hidden="false" customHeight="false" outlineLevel="0" collapsed="false">
      <c r="Y64" s="11" t="s">
        <v>383</v>
      </c>
      <c r="Z64" s="17" t="n">
        <f aca="false">SUMIF(Dados_Tratados!$K$5:$K$104,Y64,Dados_Tratados!$F$5:$F$104)</f>
        <v>112000</v>
      </c>
    </row>
    <row r="65" customFormat="false" ht="15" hidden="false" customHeight="false" outlineLevel="0" collapsed="false">
      <c r="Y65" s="11" t="s">
        <v>236</v>
      </c>
      <c r="Z65" s="17" t="n">
        <f aca="false">SUMIF(Dados_Tratados!$K$5:$K$104,Y65,Dados_Tratados!$F$5:$F$104)</f>
        <v>315250</v>
      </c>
    </row>
    <row r="66" customFormat="false" ht="15" hidden="false" customHeight="false" outlineLevel="0" collapsed="false">
      <c r="Y66" s="11" t="s">
        <v>502</v>
      </c>
      <c r="Z66" s="17" t="n">
        <f aca="false">SUMIF(Dados_Tratados!$K$5:$K$104,Y66,Dados_Tratados!$F$5:$F$104)</f>
        <v>361400</v>
      </c>
    </row>
    <row r="67" customFormat="false" ht="15" hidden="false" customHeight="false" outlineLevel="0" collapsed="false">
      <c r="Y67" s="11" t="s">
        <v>330</v>
      </c>
      <c r="Z67" s="17" t="n">
        <f aca="false">SUMIF(Dados_Tratados!$K$5:$K$104,Y67,Dados_Tratados!$F$5:$F$104)</f>
        <v>82000</v>
      </c>
    </row>
    <row r="68" customFormat="false" ht="15" hidden="false" customHeight="false" outlineLevel="0" collapsed="false">
      <c r="Y68" s="11" t="s">
        <v>571</v>
      </c>
      <c r="Z68" s="17" t="n">
        <f aca="false">SUMIF(Dados_Tratados!$K$5:$K$104,Y68,Dados_Tratados!$F$5:$F$104)</f>
        <v>200000</v>
      </c>
    </row>
    <row r="69" customFormat="false" ht="15" hidden="false" customHeight="false" outlineLevel="0" collapsed="false">
      <c r="Y69" s="11" t="s">
        <v>602</v>
      </c>
      <c r="Z69" s="17" t="n">
        <f aca="false">SUMIF(Dados_Tratados!$K$5:$K$104,Y69,Dados_Tratados!$F$5:$F$104)</f>
        <v>59000</v>
      </c>
    </row>
    <row r="70" customFormat="false" ht="15" hidden="false" customHeight="false" outlineLevel="0" collapsed="false">
      <c r="Y70" s="11" t="s">
        <v>72</v>
      </c>
      <c r="Z70" s="17" t="n">
        <f aca="false">SUMIF(Dados_Tratados!$K$5:$K$104,Y70,Dados_Tratados!$F$5:$F$104)</f>
        <v>202000</v>
      </c>
    </row>
    <row r="71" customFormat="false" ht="15" hidden="false" customHeight="false" outlineLevel="0" collapsed="false">
      <c r="Y71" s="11" t="s">
        <v>391</v>
      </c>
      <c r="Z71" s="17" t="n">
        <f aca="false">SUMIF(Dados_Tratados!$K$5:$K$104,Y71,Dados_Tratados!$F$5:$F$104)</f>
        <v>152900</v>
      </c>
    </row>
    <row r="72" customFormat="false" ht="15" hidden="false" customHeight="false" outlineLevel="0" collapsed="false">
      <c r="Y72" s="11" t="s">
        <v>171</v>
      </c>
      <c r="Z72" s="17" t="n">
        <f aca="false">SUMIF(Dados_Tratados!$K$5:$K$104,Y72,Dados_Tratados!$F$5:$F$104)</f>
        <v>282300</v>
      </c>
    </row>
    <row r="75" customFormat="false" ht="19.5" hidden="false" customHeight="true" outlineLevel="0" collapsed="false">
      <c r="Y75" s="14" t="s">
        <v>1064</v>
      </c>
      <c r="Z75" s="14"/>
    </row>
    <row r="76" customFormat="false" ht="21.75" hidden="false" customHeight="true" outlineLevel="0" collapsed="false">
      <c r="Y76" s="3" t="s">
        <v>841</v>
      </c>
      <c r="Z76" s="3" t="s">
        <v>1058</v>
      </c>
    </row>
    <row r="77" customFormat="false" ht="15" hidden="false" customHeight="false" outlineLevel="0" collapsed="false">
      <c r="Y77" s="11" t="str">
        <f aca="false">INDEX($Y$6:$Y$72,MATCH(Z77,$Z$6:$Z$72,0))</f>
        <v>Peter Lane</v>
      </c>
      <c r="Z77" s="17" t="n">
        <f aca="false">LARGE($Z$6:$Z$72,1)</f>
        <v>519000</v>
      </c>
    </row>
    <row r="78" customFormat="false" ht="15" hidden="false" customHeight="false" outlineLevel="0" collapsed="false">
      <c r="Y78" s="11" t="str">
        <f aca="false">INDEX($Y$6:$Y$72,MATCH(Z78,$Z$6:$Z$72,0))</f>
        <v>Karen Diaz</v>
      </c>
      <c r="Z78" s="17" t="n">
        <f aca="false">LARGE($Z$6:$Z$72,2)</f>
        <v>494000</v>
      </c>
    </row>
    <row r="79" customFormat="false" ht="15" hidden="false" customHeight="false" outlineLevel="0" collapsed="false">
      <c r="Y79" s="11" t="str">
        <f aca="false">INDEX($Y$6:$Y$72,MATCH(Z79,$Z$6:$Z$72,0))</f>
        <v>Monica Green</v>
      </c>
      <c r="Z79" s="17" t="n">
        <f aca="false">LARGE($Z$6:$Z$72,3)</f>
        <v>447600</v>
      </c>
    </row>
    <row r="80" customFormat="false" ht="15" hidden="false" customHeight="false" outlineLevel="0" collapsed="false">
      <c r="Y80" s="11" t="str">
        <f aca="false">INDEX($Y$6:$Y$72,MATCH(Z80,$Z$6:$Z$72,0))</f>
        <v>Rachel Turner</v>
      </c>
      <c r="Z80" s="17" t="n">
        <f aca="false">LARGE($Z$6:$Z$72,4)</f>
        <v>369800</v>
      </c>
    </row>
    <row r="81" customFormat="false" ht="15" hidden="false" customHeight="false" outlineLevel="0" collapsed="false">
      <c r="Y81" s="11" t="str">
        <f aca="false">INDEX($Y$6:$Y$72,MATCH(Z81,$Z$6:$Z$72,0))</f>
        <v>Steve Ross</v>
      </c>
      <c r="Z81" s="17" t="n">
        <f aca="false">LARGE($Z$6:$Z$72,5)</f>
        <v>361400</v>
      </c>
    </row>
    <row r="82" customFormat="false" ht="15" hidden="false" customHeight="false" outlineLevel="0" collapsed="false">
      <c r="Y82" s="11" t="str">
        <f aca="false">INDEX($Y$6:$Y$72,MATCH(Z82,$Z$6:$Z$72,0))</f>
        <v>Diana Long</v>
      </c>
      <c r="Z82" s="17" t="n">
        <f aca="false">LARGE($Z$6:$Z$72,6)</f>
        <v>351600</v>
      </c>
    </row>
    <row r="83" customFormat="false" ht="15" hidden="false" customHeight="false" outlineLevel="0" collapsed="false">
      <c r="Y83" s="11" t="str">
        <f aca="false">INDEX($Y$6:$Y$72,MATCH(Z83,$Z$6:$Z$72,0))</f>
        <v>Peter Ford</v>
      </c>
      <c r="Z83" s="17" t="n">
        <f aca="false">LARGE($Z$6:$Z$72,7)</f>
        <v>337800</v>
      </c>
    </row>
    <row r="84" customFormat="false" ht="15" hidden="false" customHeight="false" outlineLevel="0" collapsed="false">
      <c r="Y84" s="11" t="str">
        <f aca="false">INDEX($Y$6:$Y$72,MATCH(Z84,$Z$6:$Z$72,0))</f>
        <v>Steve Gray</v>
      </c>
      <c r="Z84" s="17" t="n">
        <f aca="false">LARGE($Z$6:$Z$72,8)</f>
        <v>315250</v>
      </c>
    </row>
    <row r="85" customFormat="false" ht="15" hidden="false" customHeight="false" outlineLevel="0" collapsed="false">
      <c r="Y85" s="11" t="str">
        <f aca="false">INDEX($Y$6:$Y$72,MATCH(Z85,$Z$6:$Z$72,0))</f>
        <v>Megan Reed</v>
      </c>
      <c r="Z85" s="17" t="n">
        <f aca="false">LARGE($Z$6:$Z$72,9)</f>
        <v>307000</v>
      </c>
    </row>
    <row r="86" customFormat="false" ht="15" hidden="false" customHeight="false" outlineLevel="0" collapsed="false">
      <c r="Y86" s="11" t="str">
        <f aca="false">INDEX($Y$6:$Y$72,MATCH(Z86,$Z$6:$Z$72,0))</f>
        <v>Patrick Wood</v>
      </c>
      <c r="Z86" s="17" t="n">
        <f aca="false">LARGE($Z$6:$Z$72,10)</f>
        <v>301700</v>
      </c>
    </row>
  </sheetData>
  <mergeCells count="10">
    <mergeCell ref="A1:AD1"/>
    <mergeCell ref="A4:B4"/>
    <mergeCell ref="E4:F4"/>
    <mergeCell ref="I4:J4"/>
    <mergeCell ref="M4:N4"/>
    <mergeCell ref="Q4:R4"/>
    <mergeCell ref="Y4:Z4"/>
    <mergeCell ref="Q41:R41"/>
    <mergeCell ref="M48:N48"/>
    <mergeCell ref="Y75:Z75"/>
  </mergeCells>
  <hyperlinks>
    <hyperlink ref="A2" r:id="rId1" location="Dashboard!A1" display="&lt;&lt;  Voltar ao Dashboard"/>
  </hyperlink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true"/>
  </sheetPr>
  <dimension ref="A1:L6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1"/>
  </cols>
  <sheetData>
    <row r="1" customFormat="false" ht="33.75" hidden="false" customHeight="true" outlineLevel="0" collapsed="false">
      <c r="A1" s="18" t="s">
        <v>1065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18" hidden="false" customHeight="true" outlineLevel="0" collapsed="false">
      <c r="A2" s="19" t="s">
        <v>1066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customFormat="false" ht="19.5" hidden="false" customHeight="true" outlineLevel="0" collapsed="false">
      <c r="A4" s="3" t="s">
        <v>1067</v>
      </c>
      <c r="B4" s="3"/>
      <c r="C4" s="3"/>
      <c r="D4" s="20" t="s">
        <v>1068</v>
      </c>
      <c r="E4" s="20"/>
      <c r="F4" s="20"/>
      <c r="G4" s="21" t="s">
        <v>1069</v>
      </c>
      <c r="H4" s="21"/>
      <c r="I4" s="21"/>
      <c r="J4" s="20" t="s">
        <v>1070</v>
      </c>
      <c r="K4" s="20"/>
      <c r="L4" s="20"/>
    </row>
    <row r="5" customFormat="false" ht="33.75" hidden="false" customHeight="true" outlineLevel="0" collapsed="false">
      <c r="A5" s="22" t="n">
        <f aca="false">SUM(Dados_Tratados!$F$5:$F$104)</f>
        <v>12827800.5</v>
      </c>
      <c r="B5" s="22"/>
      <c r="C5" s="22"/>
      <c r="D5" s="23" t="n">
        <f aca="false">COUNTA(Dados_Tratados!$A$5:$A$104)</f>
        <v>100</v>
      </c>
      <c r="E5" s="23"/>
      <c r="F5" s="23"/>
      <c r="G5" s="22" t="n">
        <f aca="false">SUM(Dados_Tratados!$F$5:$F$104)/COUNTA(Dados_Tratados!$A$5:$A$104)</f>
        <v>128278.005</v>
      </c>
      <c r="H5" s="22"/>
      <c r="I5" s="22"/>
      <c r="J5" s="24" t="n">
        <f aca="false">AVERAGE(Dados_Tratados!$G$5:$G$104)</f>
        <v>11422.1</v>
      </c>
      <c r="K5" s="24"/>
      <c r="L5" s="24"/>
    </row>
    <row r="7" customFormat="false" ht="19.5" hidden="false" customHeight="true" outlineLevel="0" collapsed="false">
      <c r="A7" s="25" t="s">
        <v>1071</v>
      </c>
      <c r="B7" s="25"/>
      <c r="C7" s="25"/>
      <c r="D7" s="25"/>
      <c r="E7" s="25" t="s">
        <v>1072</v>
      </c>
      <c r="F7" s="25"/>
      <c r="G7" s="25"/>
      <c r="H7" s="26" t="s">
        <v>1073</v>
      </c>
      <c r="I7" s="26"/>
      <c r="J7" s="26"/>
      <c r="K7" s="26"/>
      <c r="L7" s="26"/>
    </row>
    <row r="8" customFormat="false" ht="33.75" hidden="false" customHeight="true" outlineLevel="0" collapsed="false">
      <c r="A8" s="27" t="str">
        <f aca="false">Resumo!M50</f>
        <v>911 Dakar</v>
      </c>
      <c r="B8" s="27"/>
      <c r="C8" s="27"/>
      <c r="D8" s="27"/>
      <c r="E8" s="27" t="str">
        <f aca="false">Resumo!Q43</f>
        <v>TX</v>
      </c>
      <c r="F8" s="27"/>
      <c r="G8" s="27"/>
      <c r="H8" s="27" t="str">
        <f aca="false">TEXT((COUNTA(Dados_Tratados!$A$5:$A$104)-COUNTIF(Dados_Tratados!$B$5:$B$104,"Data inválida"))/COUNTA(Dados_Tratados!$A$5:$A$104),"0.0%") &amp; " (" &amp; COUNTIF(Dados_Tratados!$B$5:$B$104,"Data inválida") &amp; " p/ revisar)"</f>
        <v>76.0% (24 p/ revisar)</v>
      </c>
      <c r="I8" s="27"/>
      <c r="J8" s="27"/>
      <c r="K8" s="27"/>
      <c r="L8" s="27"/>
    </row>
    <row r="65" customFormat="false" ht="15" hidden="false" customHeight="true" outlineLevel="0" collapsed="false">
      <c r="A65" s="5" t="s">
        <v>1074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</sheetData>
  <mergeCells count="17">
    <mergeCell ref="A1:L1"/>
    <mergeCell ref="A2:L2"/>
    <mergeCell ref="A4:C4"/>
    <mergeCell ref="D4:F4"/>
    <mergeCell ref="G4:I4"/>
    <mergeCell ref="J4:L4"/>
    <mergeCell ref="A5:C5"/>
    <mergeCell ref="D5:F5"/>
    <mergeCell ref="G5:I5"/>
    <mergeCell ref="J5:L5"/>
    <mergeCell ref="A7:D7"/>
    <mergeCell ref="E7:G7"/>
    <mergeCell ref="H7:L7"/>
    <mergeCell ref="A8:D8"/>
    <mergeCell ref="E8:G8"/>
    <mergeCell ref="H8:L8"/>
    <mergeCell ref="A65:L67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2026-08-25T16:04:55Z</dcterms:created>
  <dc:creator>openpyxl</dc:creator>
  <dc:description/>
  <dc:language>en-US</dc:language>
  <cp:lastModifiedBy/>
  <dcterms:modified xsi:type="dcterms:W3CDTF">2026-08-25T16:05:01Z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