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<sst xmlns="http://schemas.openxmlformats.org/spreadsheetml/2006/main" count="22" uniqueCount="22">
  <si>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Simulador de Investimentos em Fundos Imobiliários (FIIs)</t>
  </si>
  <si>
    <t xml:space="preserve">Preencha apenas as células amarelas. Os demais campos são calculados automaticamente.</t>
  </si>
  <si>
    <t xml:space="preserve">1. Dados de Entrada</t>
  </si>
  <si>
    <t xml:space="preserve">Valor Inicial Investido (R$)</t>
  </si>
  <si>
    <t xml:space="preserve">Aporte Mensal (R$)</t>
  </si>
  <si>
    <t xml:space="preserve">Taxa de Dividendo Mensal (% sobre o patrimônio)</t>
  </si>
  <si>
    <t xml:space="preserve">Valorização Mensal da Cota (%)</t>
  </si>
  <si>
    <t xml:space="preserve">Período da Simulação (meses)</t>
  </si>
  <si>
    <t xml:space="preserve">Reinvestir os Dividendos?  (1 = Sim, 0 = Não)</t>
  </si>
  <si>
    <t xml:space="preserve">Premissas: taxa de dividendo e valorização mensal são estimativas fixas definidas pelo usuário (na prática variam mês a mês conforme o mercado). Dividendos de FIIs são isentos de Imposto de Renda para pessoa física, na forma da Lei nº 11.196/2005, art. 3º, inciso III (condições legais aplicáveis, ex.: fundo com no mínimo 50 cotistas e cotista com menos de 10% das cotas).</t>
  </si>
  <si>
    <t xml:space="preserve">2. Resultados da Simulação</t>
  </si>
  <si>
    <t xml:space="preserve">Valor Total Investido (aportes)</t>
  </si>
  <si>
    <t xml:space="preserve">Patrimônio Acumulado ao Final do Período</t>
  </si>
  <si>
    <t xml:space="preserve">Total de Dividendos Recebidos no Período</t>
  </si>
  <si>
    <t xml:space="preserve">Dividendo do Último Mês</t>
  </si>
  <si>
    <t xml:space="preserve">Rentabilidade Total sobre o Investido (%)</t>
  </si>
  <si>
    <t xml:space="preserve">3. Evolução Mês a Mês</t>
  </si>
  <si>
    <t xml:space="preserve">Mês</t>
  </si>
  <si>
    <t xml:space="preserve">Aporte no Mês (R$)</t>
  </si>
  <si>
    <t xml:space="preserve">Dividendo do Mês (R$)</t>
  </si>
  <si>
    <t xml:space="preserve">Dividendos Acumulados (R$)</t>
  </si>
  <si>
    <t xml:space="preserve">Patrimônio Acumulado (R$)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</si>
</sst>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&quot;#,##0.00"/>
    <numFmt numFmtId="166" formatCode="0.00%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2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3</v>
      </c>
      <c r="B5" s="4"/>
      <c r="C5" s="4"/>
      <c r="D5" s="5" t="n">
        <v>5000</v>
      </c>
    </row>
    <row r="6" customFormat="false" ht="19.5" hidden="false" customHeight="true" outlineLevel="0" collapsed="false">
      <c r="A6" s="4" t="s">
        <v>4</v>
      </c>
      <c r="B6" s="4"/>
      <c r="C6" s="4"/>
      <c r="D6" s="5" t="n">
        <v>500</v>
      </c>
    </row>
    <row r="7" customFormat="false" ht="19.5" hidden="false" customHeight="true" outlineLevel="0" collapsed="false">
      <c r="A7" s="4" t="s">
        <v>5</v>
      </c>
      <c r="B7" s="4"/>
      <c r="C7" s="4"/>
      <c r="D7" s="6" t="n">
        <v>0.008</v>
      </c>
    </row>
    <row r="8" customFormat="false" ht="19.5" hidden="false" customHeight="true" outlineLevel="0" collapsed="false">
      <c r="A8" s="4" t="s">
        <v>6</v>
      </c>
      <c r="B8" s="4"/>
      <c r="C8" s="4"/>
      <c r="D8" s="6" t="n">
        <v>0.002</v>
      </c>
    </row>
    <row r="9" customFormat="false" ht="19.5" hidden="false" customHeight="true" outlineLevel="0" collapsed="false">
      <c r="A9" s="4" t="s">
        <v>7</v>
      </c>
      <c r="B9" s="4"/>
      <c r="C9" s="4"/>
      <c r="D9" s="7" t="n">
        <v>60</v>
      </c>
    </row>
    <row r="10" customFormat="false" ht="19.5" hidden="false" customHeight="true" outlineLevel="0" collapsed="false">
      <c r="A10" s="4" t="s">
        <v>8</v>
      </c>
      <c r="B10" s="4"/>
      <c r="C10" s="4"/>
      <c r="D10" s="7" t="n">
        <v>1</v>
      </c>
    </row>
    <row r="12" customFormat="false" ht="39.75" hidden="false" customHeight="true" outlineLevel="0" collapsed="false">
      <c r="A12" s="8" t="s">
        <v>9</v>
      </c>
      <c r="B12" s="8"/>
      <c r="C12" s="8"/>
      <c r="D12" s="8"/>
      <c r="E12" s="8"/>
    </row>
    <row r="14" customFormat="false" ht="21.75" hidden="false" customHeight="true" outlineLevel="0" collapsed="false">
      <c r="A14" s="3" t="s">
        <v>10</v>
      </c>
      <c r="B14" s="3"/>
      <c r="C14" s="3"/>
      <c r="D14" s="3"/>
      <c r="E14" s="3"/>
    </row>
    <row r="15" customFormat="false" ht="19.5" hidden="false" customHeight="true" outlineLevel="0" collapsed="false">
      <c r="A15" s="9" t="s">
        <v>11</v>
      </c>
      <c r="B15" s="9"/>
      <c r="C15" s="9"/>
      <c r="D15" s="10" t="n">
        <f aca="false">$D$5+($D$6*$D$9)</f>
        <v>35000</v>
      </c>
    </row>
    <row r="16" customFormat="false" ht="19.5" hidden="false" customHeight="true" outlineLevel="0" collapsed="false">
      <c r="A16" s="9" t="s">
        <v>12</v>
      </c>
      <c r="B16" s="9"/>
      <c r="C16" s="9"/>
      <c r="D16" s="10" t="n">
        <f aca="false">INDEX(E23:E382,$D$9)</f>
        <v>49999.9880908814</v>
      </c>
    </row>
    <row r="17" customFormat="false" ht="19.5" hidden="false" customHeight="true" outlineLevel="0" collapsed="false">
      <c r="A17" s="9" t="s">
        <v>13</v>
      </c>
      <c r="B17" s="9"/>
      <c r="C17" s="9"/>
      <c r="D17" s="10" t="n">
        <f aca="false">INDEX(D23:D382,$D$9)</f>
        <v>11951.9904727051</v>
      </c>
    </row>
    <row r="18" customFormat="false" ht="19.5" hidden="false" customHeight="true" outlineLevel="0" collapsed="false">
      <c r="A18" s="9" t="s">
        <v>14</v>
      </c>
      <c r="B18" s="9"/>
      <c r="C18" s="9"/>
      <c r="D18" s="10" t="n">
        <f aca="false">INDEX(C23:C382,$D$9)</f>
        <v>392.071192799061</v>
      </c>
    </row>
    <row r="19" customFormat="false" ht="19.5" hidden="false" customHeight="true" outlineLevel="0" collapsed="false">
      <c r="A19" s="9" t="s">
        <v>15</v>
      </c>
      <c r="B19" s="9"/>
      <c r="C19" s="9"/>
      <c r="D19" s="11" t="n">
        <f aca="false">((INDEX(E23:E382,$D$9)+INDEX(D23:D382,$D$9)*(1-$D$10))-($D$5+($D$6*$D$9)))/($D$5+($D$6*$D$9))</f>
        <v>0.428571088310897</v>
      </c>
    </row>
    <row r="21" customFormat="false" ht="21.75" hidden="false" customHeight="true" outlineLevel="0" collapsed="false">
      <c r="A21" s="3" t="s">
        <v>16</v>
      </c>
      <c r="B21" s="3"/>
      <c r="C21" s="3"/>
      <c r="D21" s="3"/>
      <c r="E21" s="3"/>
    </row>
    <row r="22" customFormat="false" ht="30" hidden="false" customHeight="true" outlineLevel="0" collapsed="false">
      <c r="A22" s="12" t="s">
        <v>17</v>
      </c>
      <c r="B22" s="12" t="s">
        <v>18</v>
      </c>
      <c r="C22" s="12" t="s">
        <v>19</v>
      </c>
      <c r="D22" s="12" t="s">
        <v>20</v>
      </c>
      <c r="E22" s="12" t="s">
        <v>21</v>
      </c>
    </row>
    <row r="23" customFormat="false" ht="15" hidden="false" customHeight="false" outlineLevel="0" collapsed="false">
      <c r="A23" s="13" t="n">
        <f aca="false">IF(ROW()-ROW($A$22)&lt;=($D$9),ROW()-ROW($A$22),"")</f>
        <v>1</v>
      </c>
      <c r="B23" s="14" t="n">
        <f aca="false">IF(A23="","",$D$6)</f>
        <v>500</v>
      </c>
      <c r="C23" s="14" t="n">
        <f aca="false">IF(A23="","",$D$5*$D$7)</f>
        <v>40</v>
      </c>
      <c r="D23" s="14" t="n">
        <f aca="false">IF(A23="","",C23)</f>
        <v>40</v>
      </c>
      <c r="E23" s="14" t="n">
        <f aca="false">IF(A23="","",($D$5+B23)*(1+$D$8)+C23*$D$10)</f>
        <v>5551</v>
      </c>
    </row>
    <row r="24" customFormat="false" ht="15" hidden="false" customHeight="false" outlineLevel="0" collapsed="false">
      <c r="A24" s="13" t="n">
        <f aca="false">IF(ROW()-ROW($A$22)&lt;=($D$9),ROW()-ROW($A$22),"")</f>
        <v>2</v>
      </c>
      <c r="B24" s="14" t="n">
        <f aca="false">IF(A24="","",$D$6)</f>
        <v>500</v>
      </c>
      <c r="C24" s="14" t="n">
        <f aca="false">IF(A24="","",E23*$D$7)</f>
        <v>44.408</v>
      </c>
      <c r="D24" s="14" t="n">
        <f aca="false">IF(A24="","",D23+C24)</f>
        <v>84.408</v>
      </c>
      <c r="E24" s="14" t="n">
        <f aca="false">IF(A24="","",(E23+B24)*(1+$D$8)+C24*$D$10)</f>
        <v>6107.51</v>
      </c>
    </row>
    <row r="25" customFormat="false" ht="15" hidden="false" customHeight="false" outlineLevel="0" collapsed="false">
      <c r="A25" s="13" t="n">
        <f aca="false">IF(ROW()-ROW($A$22)&lt;=($D$9),ROW()-ROW($A$22),"")</f>
        <v>3</v>
      </c>
      <c r="B25" s="14" t="n">
        <f aca="false">IF(A25="","",$D$6)</f>
        <v>500</v>
      </c>
      <c r="C25" s="14" t="n">
        <f aca="false">IF(A25="","",E24*$D$7)</f>
        <v>48.86008</v>
      </c>
      <c r="D25" s="14" t="n">
        <f aca="false">IF(A25="","",D24+C25)</f>
        <v>133.26808</v>
      </c>
      <c r="E25" s="14" t="n">
        <f aca="false">IF(A25="","",(E24+B25)*(1+$D$8)+C25*$D$10)</f>
        <v>6669.5851</v>
      </c>
    </row>
    <row r="26" customFormat="false" ht="15" hidden="false" customHeight="false" outlineLevel="0" collapsed="false">
      <c r="A26" s="13" t="n">
        <f aca="false">IF(ROW()-ROW($A$22)&lt;=($D$9),ROW()-ROW($A$22),"")</f>
        <v>4</v>
      </c>
      <c r="B26" s="14" t="n">
        <f aca="false">IF(A26="","",$D$6)</f>
        <v>500</v>
      </c>
      <c r="C26" s="14" t="n">
        <f aca="false">IF(A26="","",E25*$D$7)</f>
        <v>53.3566808</v>
      </c>
      <c r="D26" s="14" t="n">
        <f aca="false">IF(A26="","",D25+C26)</f>
        <v>186.6247608</v>
      </c>
      <c r="E26" s="14" t="n">
        <f aca="false">IF(A26="","",(E25+B26)*(1+$D$8)+C26*$D$10)</f>
        <v>7237.280951</v>
      </c>
    </row>
    <row r="27" customFormat="false" ht="15" hidden="false" customHeight="false" outlineLevel="0" collapsed="false">
      <c r="A27" s="13" t="n">
        <f aca="false">IF(ROW()-ROW($A$22)&lt;=($D$9),ROW()-ROW($A$22),"")</f>
        <v>5</v>
      </c>
      <c r="B27" s="14" t="n">
        <f aca="false">IF(A27="","",$D$6)</f>
        <v>500</v>
      </c>
      <c r="C27" s="14" t="n">
        <f aca="false">IF(A27="","",E26*$D$7)</f>
        <v>57.898247608</v>
      </c>
      <c r="D27" s="14" t="n">
        <f aca="false">IF(A27="","",D26+C27)</f>
        <v>244.523008408</v>
      </c>
      <c r="E27" s="14" t="n">
        <f aca="false">IF(A27="","",(E26+B27)*(1+$D$8)+C27*$D$10)</f>
        <v>7810.65376051</v>
      </c>
    </row>
    <row r="28" customFormat="false" ht="15" hidden="false" customHeight="false" outlineLevel="0" collapsed="false">
      <c r="A28" s="13" t="n">
        <f aca="false">IF(ROW()-ROW($A$22)&lt;=($D$9),ROW()-ROW($A$22),"")</f>
        <v>6</v>
      </c>
      <c r="B28" s="14" t="n">
        <f aca="false">IF(A28="","",$D$6)</f>
        <v>500</v>
      </c>
      <c r="C28" s="14" t="n">
        <f aca="false">IF(A28="","",E27*$D$7)</f>
        <v>62.48523008408</v>
      </c>
      <c r="D28" s="14" t="n">
        <f aca="false">IF(A28="","",D27+C28)</f>
        <v>307.00823849208</v>
      </c>
      <c r="E28" s="14" t="n">
        <f aca="false">IF(A28="","",(E27+B28)*(1+$D$8)+C28*$D$10)</f>
        <v>8389.7602981151</v>
      </c>
    </row>
    <row r="29" customFormat="false" ht="15" hidden="false" customHeight="false" outlineLevel="0" collapsed="false">
      <c r="A29" s="13" t="n">
        <f aca="false">IF(ROW()-ROW($A$22)&lt;=($D$9),ROW()-ROW($A$22),"")</f>
        <v>7</v>
      </c>
      <c r="B29" s="14" t="n">
        <f aca="false">IF(A29="","",$D$6)</f>
        <v>500</v>
      </c>
      <c r="C29" s="14" t="n">
        <f aca="false">IF(A29="","",E28*$D$7)</f>
        <v>67.1180823849208</v>
      </c>
      <c r="D29" s="14" t="n">
        <f aca="false">IF(A29="","",D28+C29)</f>
        <v>374.126320877001</v>
      </c>
      <c r="E29" s="14" t="n">
        <f aca="false">IF(A29="","",(E28+B29)*(1+$D$8)+C29*$D$10)</f>
        <v>8974.65790109625</v>
      </c>
    </row>
    <row r="30" customFormat="false" ht="15" hidden="false" customHeight="false" outlineLevel="0" collapsed="false">
      <c r="A30" s="13" t="n">
        <f aca="false">IF(ROW()-ROW($A$22)&lt;=($D$9),ROW()-ROW($A$22),"")</f>
        <v>8</v>
      </c>
      <c r="B30" s="14" t="n">
        <f aca="false">IF(A30="","",$D$6)</f>
        <v>500</v>
      </c>
      <c r="C30" s="14" t="n">
        <f aca="false">IF(A30="","",E29*$D$7)</f>
        <v>71.79726320877</v>
      </c>
      <c r="D30" s="14" t="n">
        <f aca="false">IF(A30="","",D29+C30)</f>
        <v>445.923584085771</v>
      </c>
      <c r="E30" s="14" t="n">
        <f aca="false">IF(A30="","",(E29+B30)*(1+$D$8)+C30*$D$10)</f>
        <v>9565.40448010721</v>
      </c>
    </row>
    <row r="31" customFormat="false" ht="15" hidden="false" customHeight="false" outlineLevel="0" collapsed="false">
      <c r="A31" s="13" t="n">
        <f aca="false">IF(ROW()-ROW($A$22)&lt;=($D$9),ROW()-ROW($A$22),"")</f>
        <v>9</v>
      </c>
      <c r="B31" s="14" t="n">
        <f aca="false">IF(A31="","",$D$6)</f>
        <v>500</v>
      </c>
      <c r="C31" s="14" t="n">
        <f aca="false">IF(A31="","",E30*$D$7)</f>
        <v>76.5232358408577</v>
      </c>
      <c r="D31" s="14" t="n">
        <f aca="false">IF(A31="","",D30+C31)</f>
        <v>522.446819926629</v>
      </c>
      <c r="E31" s="14" t="n">
        <f aca="false">IF(A31="","",(E30+B31)*(1+$D$8)+C31*$D$10)</f>
        <v>10162.0585249083</v>
      </c>
    </row>
    <row r="32" customFormat="false" ht="15" hidden="false" customHeight="false" outlineLevel="0" collapsed="false">
      <c r="A32" s="13" t="n">
        <f aca="false">IF(ROW()-ROW($A$22)&lt;=($D$9),ROW()-ROW($A$22),"")</f>
        <v>10</v>
      </c>
      <c r="B32" s="14" t="n">
        <f aca="false">IF(A32="","",$D$6)</f>
        <v>500</v>
      </c>
      <c r="C32" s="14" t="n">
        <f aca="false">IF(A32="","",E31*$D$7)</f>
        <v>81.2964681992663</v>
      </c>
      <c r="D32" s="14" t="n">
        <f aca="false">IF(A32="","",D31+C32)</f>
        <v>603.743288125895</v>
      </c>
      <c r="E32" s="14" t="n">
        <f aca="false">IF(A32="","",(E31+B32)*(1+$D$8)+C32*$D$10)</f>
        <v>10764.6791101574</v>
      </c>
    </row>
    <row r="33" customFormat="false" ht="15" hidden="false" customHeight="false" outlineLevel="0" collapsed="false">
      <c r="A33" s="13" t="n">
        <f aca="false">IF(ROW()-ROW($A$22)&lt;=($D$9),ROW()-ROW($A$22),"")</f>
        <v>11</v>
      </c>
      <c r="B33" s="14" t="n">
        <f aca="false">IF(A33="","",$D$6)</f>
        <v>500</v>
      </c>
      <c r="C33" s="14" t="n">
        <f aca="false">IF(A33="","",E32*$D$7)</f>
        <v>86.117432881259</v>
      </c>
      <c r="D33" s="14" t="n">
        <f aca="false">IF(A33="","",D32+C33)</f>
        <v>689.860721007154</v>
      </c>
      <c r="E33" s="14" t="n">
        <f aca="false">IF(A33="","",(E32+B33)*(1+$D$8)+C33*$D$10)</f>
        <v>11373.3259012589</v>
      </c>
    </row>
    <row r="34" customFormat="false" ht="15" hidden="false" customHeight="false" outlineLevel="0" collapsed="false">
      <c r="A34" s="13" t="n">
        <f aca="false">IF(ROW()-ROW($A$22)&lt;=($D$9),ROW()-ROW($A$22),"")</f>
        <v>12</v>
      </c>
      <c r="B34" s="14" t="n">
        <f aca="false">IF(A34="","",$D$6)</f>
        <v>500</v>
      </c>
      <c r="C34" s="14" t="n">
        <f aca="false">IF(A34="","",E33*$D$7)</f>
        <v>90.9866072100715</v>
      </c>
      <c r="D34" s="14" t="n">
        <f aca="false">IF(A34="","",D33+C34)</f>
        <v>780.847328217225</v>
      </c>
      <c r="E34" s="14" t="n">
        <f aca="false">IF(A34="","",(E33+B34)*(1+$D$8)+C34*$D$10)</f>
        <v>11988.0591602715</v>
      </c>
    </row>
    <row r="35" customFormat="false" ht="15" hidden="false" customHeight="false" outlineLevel="0" collapsed="false">
      <c r="A35" s="13" t="n">
        <f aca="false">IF(ROW()-ROW($A$22)&lt;=($D$9),ROW()-ROW($A$22),"")</f>
        <v>13</v>
      </c>
      <c r="B35" s="14" t="n">
        <f aca="false">IF(A35="","",$D$6)</f>
        <v>500</v>
      </c>
      <c r="C35" s="14" t="n">
        <f aca="false">IF(A35="","",E34*$D$7)</f>
        <v>95.9044732821723</v>
      </c>
      <c r="D35" s="14" t="n">
        <f aca="false">IF(A35="","",D34+C35)</f>
        <v>876.751801499398</v>
      </c>
      <c r="E35" s="14" t="n">
        <f aca="false">IF(A35="","",(E34+B35)*(1+$D$8)+C35*$D$10)</f>
        <v>12608.9397518742</v>
      </c>
    </row>
    <row r="36" customFormat="false" ht="15" hidden="false" customHeight="false" outlineLevel="0" collapsed="false">
      <c r="A36" s="13" t="n">
        <f aca="false">IF(ROW()-ROW($A$22)&lt;=($D$9),ROW()-ROW($A$22),"")</f>
        <v>14</v>
      </c>
      <c r="B36" s="14" t="n">
        <f aca="false">IF(A36="","",$D$6)</f>
        <v>500</v>
      </c>
      <c r="C36" s="14" t="n">
        <f aca="false">IF(A36="","",E35*$D$7)</f>
        <v>100.871518014994</v>
      </c>
      <c r="D36" s="14" t="n">
        <f aca="false">IF(A36="","",D35+C36)</f>
        <v>977.623319514392</v>
      </c>
      <c r="E36" s="14" t="n">
        <f aca="false">IF(A36="","",(E35+B36)*(1+$D$8)+C36*$D$10)</f>
        <v>13236.029149393</v>
      </c>
    </row>
    <row r="37" customFormat="false" ht="15" hidden="false" customHeight="false" outlineLevel="0" collapsed="false">
      <c r="A37" s="13" t="n">
        <f aca="false">IF(ROW()-ROW($A$22)&lt;=($D$9),ROW()-ROW($A$22),"")</f>
        <v>15</v>
      </c>
      <c r="B37" s="14" t="n">
        <f aca="false">IF(A37="","",$D$6)</f>
        <v>500</v>
      </c>
      <c r="C37" s="14" t="n">
        <f aca="false">IF(A37="","",E36*$D$7)</f>
        <v>105.888233195144</v>
      </c>
      <c r="D37" s="14" t="n">
        <f aca="false">IF(A37="","",D36+C37)</f>
        <v>1083.51155270954</v>
      </c>
      <c r="E37" s="14" t="n">
        <f aca="false">IF(A37="","",(E36+B37)*(1+$D$8)+C37*$D$10)</f>
        <v>13869.3894408869</v>
      </c>
    </row>
    <row r="38" customFormat="false" ht="15" hidden="false" customHeight="false" outlineLevel="0" collapsed="false">
      <c r="A38" s="13" t="n">
        <f aca="false">IF(ROW()-ROW($A$22)&lt;=($D$9),ROW()-ROW($A$22),"")</f>
        <v>16</v>
      </c>
      <c r="B38" s="14" t="n">
        <f aca="false">IF(A38="","",$D$6)</f>
        <v>500</v>
      </c>
      <c r="C38" s="14" t="n">
        <f aca="false">IF(A38="","",E37*$D$7)</f>
        <v>110.955115527095</v>
      </c>
      <c r="D38" s="14" t="n">
        <f aca="false">IF(A38="","",D37+C38)</f>
        <v>1194.46666823663</v>
      </c>
      <c r="E38" s="14" t="n">
        <f aca="false">IF(A38="","",(E37+B38)*(1+$D$8)+C38*$D$10)</f>
        <v>14509.0833352958</v>
      </c>
    </row>
    <row r="39" customFormat="false" ht="15" hidden="false" customHeight="false" outlineLevel="0" collapsed="false">
      <c r="A39" s="13" t="n">
        <f aca="false">IF(ROW()-ROW($A$22)&lt;=($D$9),ROW()-ROW($A$22),"")</f>
        <v>17</v>
      </c>
      <c r="B39" s="14" t="n">
        <f aca="false">IF(A39="","",$D$6)</f>
        <v>500</v>
      </c>
      <c r="C39" s="14" t="n">
        <f aca="false">IF(A39="","",E38*$D$7)</f>
        <v>116.072666682366</v>
      </c>
      <c r="D39" s="14" t="n">
        <f aca="false">IF(A39="","",D38+C39)</f>
        <v>1310.539334919</v>
      </c>
      <c r="E39" s="14" t="n">
        <f aca="false">IF(A39="","",(E38+B39)*(1+$D$8)+C39*$D$10)</f>
        <v>15155.1741686488</v>
      </c>
    </row>
    <row r="40" customFormat="false" ht="15" hidden="false" customHeight="false" outlineLevel="0" collapsed="false">
      <c r="A40" s="13" t="n">
        <f aca="false">IF(ROW()-ROW($A$22)&lt;=($D$9),ROW()-ROW($A$22),"")</f>
        <v>18</v>
      </c>
      <c r="B40" s="14" t="n">
        <f aca="false">IF(A40="","",$D$6)</f>
        <v>500</v>
      </c>
      <c r="C40" s="14" t="n">
        <f aca="false">IF(A40="","",E39*$D$7)</f>
        <v>121.24139334919</v>
      </c>
      <c r="D40" s="14" t="n">
        <f aca="false">IF(A40="","",D39+C40)</f>
        <v>1431.78072826819</v>
      </c>
      <c r="E40" s="14" t="n">
        <f aca="false">IF(A40="","",(E39+B40)*(1+$D$8)+C40*$D$10)</f>
        <v>15807.7259103352</v>
      </c>
    </row>
    <row r="41" customFormat="false" ht="15" hidden="false" customHeight="false" outlineLevel="0" collapsed="false">
      <c r="A41" s="13" t="n">
        <f aca="false">IF(ROW()-ROW($A$22)&lt;=($D$9),ROW()-ROW($A$22),"")</f>
        <v>19</v>
      </c>
      <c r="B41" s="14" t="n">
        <f aca="false">IF(A41="","",$D$6)</f>
        <v>500</v>
      </c>
      <c r="C41" s="14" t="n">
        <f aca="false">IF(A41="","",E40*$D$7)</f>
        <v>126.461807282682</v>
      </c>
      <c r="D41" s="14" t="n">
        <f aca="false">IF(A41="","",D40+C41)</f>
        <v>1558.24253555087</v>
      </c>
      <c r="E41" s="14" t="n">
        <f aca="false">IF(A41="","",(E40+B41)*(1+$D$8)+C41*$D$10)</f>
        <v>16466.8031694386</v>
      </c>
    </row>
    <row r="42" customFormat="false" ht="15" hidden="false" customHeight="false" outlineLevel="0" collapsed="false">
      <c r="A42" s="13" t="n">
        <f aca="false">IF(ROW()-ROW($A$22)&lt;=($D$9),ROW()-ROW($A$22),"")</f>
        <v>20</v>
      </c>
      <c r="B42" s="14" t="n">
        <f aca="false">IF(A42="","",$D$6)</f>
        <v>500</v>
      </c>
      <c r="C42" s="14" t="n">
        <f aca="false">IF(A42="","",E41*$D$7)</f>
        <v>131.734425355509</v>
      </c>
      <c r="D42" s="14" t="n">
        <f aca="false">IF(A42="","",D41+C42)</f>
        <v>1689.97696090638</v>
      </c>
      <c r="E42" s="14" t="n">
        <f aca="false">IF(A42="","",(E41+B42)*(1+$D$8)+C42*$D$10)</f>
        <v>17132.471201133</v>
      </c>
    </row>
    <row r="43" customFormat="false" ht="15" hidden="false" customHeight="false" outlineLevel="0" collapsed="false">
      <c r="A43" s="13" t="n">
        <f aca="false">IF(ROW()-ROW($A$22)&lt;=($D$9),ROW()-ROW($A$22),"")</f>
        <v>21</v>
      </c>
      <c r="B43" s="14" t="n">
        <f aca="false">IF(A43="","",$D$6)</f>
        <v>500</v>
      </c>
      <c r="C43" s="14" t="n">
        <f aca="false">IF(A43="","",E42*$D$7)</f>
        <v>137.059769609064</v>
      </c>
      <c r="D43" s="14" t="n">
        <f aca="false">IF(A43="","",D42+C43)</f>
        <v>1827.03673051544</v>
      </c>
      <c r="E43" s="14" t="n">
        <f aca="false">IF(A43="","",(E42+B43)*(1+$D$8)+C43*$D$10)</f>
        <v>17804.7959131443</v>
      </c>
    </row>
    <row r="44" customFormat="false" ht="15" hidden="false" customHeight="false" outlineLevel="0" collapsed="false">
      <c r="A44" s="13" t="n">
        <f aca="false">IF(ROW()-ROW($A$22)&lt;=($D$9),ROW()-ROW($A$22),"")</f>
        <v>22</v>
      </c>
      <c r="B44" s="14" t="n">
        <f aca="false">IF(A44="","",$D$6)</f>
        <v>500</v>
      </c>
      <c r="C44" s="14" t="n">
        <f aca="false">IF(A44="","",E43*$D$7)</f>
        <v>142.438367305154</v>
      </c>
      <c r="D44" s="14" t="n">
        <f aca="false">IF(A44="","",D43+C44)</f>
        <v>1969.4750978206</v>
      </c>
      <c r="E44" s="14" t="n">
        <f aca="false">IF(A44="","",(E43+B44)*(1+$D$8)+C44*$D$10)</f>
        <v>18483.8438722758</v>
      </c>
    </row>
    <row r="45" customFormat="false" ht="15" hidden="false" customHeight="false" outlineLevel="0" collapsed="false">
      <c r="A45" s="13" t="n">
        <f aca="false">IF(ROW()-ROW($A$22)&lt;=($D$9),ROW()-ROW($A$22),"")</f>
        <v>23</v>
      </c>
      <c r="B45" s="14" t="n">
        <f aca="false">IF(A45="","",$D$6)</f>
        <v>500</v>
      </c>
      <c r="C45" s="14" t="n">
        <f aca="false">IF(A45="","",E44*$D$7)</f>
        <v>147.870750978206</v>
      </c>
      <c r="D45" s="14" t="n">
        <f aca="false">IF(A45="","",D44+C45)</f>
        <v>2117.3458487988</v>
      </c>
      <c r="E45" s="14" t="n">
        <f aca="false">IF(A45="","",(E44+B45)*(1+$D$8)+C45*$D$10)</f>
        <v>19169.6823109985</v>
      </c>
    </row>
    <row r="46" customFormat="false" ht="15" hidden="false" customHeight="false" outlineLevel="0" collapsed="false">
      <c r="A46" s="13" t="n">
        <f aca="false">IF(ROW()-ROW($A$22)&lt;=($D$9),ROW()-ROW($A$22),"")</f>
        <v>24</v>
      </c>
      <c r="B46" s="14" t="n">
        <f aca="false">IF(A46="","",$D$6)</f>
        <v>500</v>
      </c>
      <c r="C46" s="14" t="n">
        <f aca="false">IF(A46="","",E45*$D$7)</f>
        <v>153.357458487988</v>
      </c>
      <c r="D46" s="14" t="n">
        <f aca="false">IF(A46="","",D45+C46)</f>
        <v>2270.70330728679</v>
      </c>
      <c r="E46" s="14" t="n">
        <f aca="false">IF(A46="","",(E45+B46)*(1+$D$8)+C46*$D$10)</f>
        <v>19862.3791341085</v>
      </c>
    </row>
    <row r="47" customFormat="false" ht="15" hidden="false" customHeight="false" outlineLevel="0" collapsed="false">
      <c r="A47" s="13" t="n">
        <f aca="false">IF(ROW()-ROW($A$22)&lt;=($D$9),ROW()-ROW($A$22),"")</f>
        <v>25</v>
      </c>
      <c r="B47" s="14" t="n">
        <f aca="false">IF(A47="","",$D$6)</f>
        <v>500</v>
      </c>
      <c r="C47" s="14" t="n">
        <f aca="false">IF(A47="","",E46*$D$7)</f>
        <v>158.899033072868</v>
      </c>
      <c r="D47" s="14" t="n">
        <f aca="false">IF(A47="","",D46+C47)</f>
        <v>2429.60234035966</v>
      </c>
      <c r="E47" s="14" t="n">
        <f aca="false">IF(A47="","",(E46+B47)*(1+$D$8)+C47*$D$10)</f>
        <v>20562.0029254496</v>
      </c>
    </row>
    <row r="48" customFormat="false" ht="15" hidden="false" customHeight="false" outlineLevel="0" collapsed="false">
      <c r="A48" s="13" t="n">
        <f aca="false">IF(ROW()-ROW($A$22)&lt;=($D$9),ROW()-ROW($A$22),"")</f>
        <v>26</v>
      </c>
      <c r="B48" s="14" t="n">
        <f aca="false">IF(A48="","",$D$6)</f>
        <v>500</v>
      </c>
      <c r="C48" s="14" t="n">
        <f aca="false">IF(A48="","",E47*$D$7)</f>
        <v>164.496023403597</v>
      </c>
      <c r="D48" s="14" t="n">
        <f aca="false">IF(A48="","",D47+C48)</f>
        <v>2594.09836376326</v>
      </c>
      <c r="E48" s="14" t="n">
        <f aca="false">IF(A48="","",(E47+B48)*(1+$D$8)+C48*$D$10)</f>
        <v>21268.6229547041</v>
      </c>
    </row>
    <row r="49" customFormat="false" ht="15" hidden="false" customHeight="false" outlineLevel="0" collapsed="false">
      <c r="A49" s="13" t="n">
        <f aca="false">IF(ROW()-ROW($A$22)&lt;=($D$9),ROW()-ROW($A$22),"")</f>
        <v>27</v>
      </c>
      <c r="B49" s="14" t="n">
        <f aca="false">IF(A49="","",$D$6)</f>
        <v>500</v>
      </c>
      <c r="C49" s="14" t="n">
        <f aca="false">IF(A49="","",E48*$D$7)</f>
        <v>170.148983637633</v>
      </c>
      <c r="D49" s="14" t="n">
        <f aca="false">IF(A49="","",D48+C49)</f>
        <v>2764.24734740089</v>
      </c>
      <c r="E49" s="14" t="n">
        <f aca="false">IF(A49="","",(E48+B49)*(1+$D$8)+C49*$D$10)</f>
        <v>21982.3091842511</v>
      </c>
    </row>
    <row r="50" customFormat="false" ht="15" hidden="false" customHeight="false" outlineLevel="0" collapsed="false">
      <c r="A50" s="13" t="n">
        <f aca="false">IF(ROW()-ROW($A$22)&lt;=($D$9),ROW()-ROW($A$22),"")</f>
        <v>28</v>
      </c>
      <c r="B50" s="14" t="n">
        <f aca="false">IF(A50="","",$D$6)</f>
        <v>500</v>
      </c>
      <c r="C50" s="14" t="n">
        <f aca="false">IF(A50="","",E49*$D$7)</f>
        <v>175.858473474009</v>
      </c>
      <c r="D50" s="14" t="n">
        <f aca="false">IF(A50="","",D49+C50)</f>
        <v>2940.1058208749</v>
      </c>
      <c r="E50" s="14" t="n">
        <f aca="false">IF(A50="","",(E49+B50)*(1+$D$8)+C50*$D$10)</f>
        <v>22703.1322760936</v>
      </c>
    </row>
    <row r="51" customFormat="false" ht="15" hidden="false" customHeight="false" outlineLevel="0" collapsed="false">
      <c r="A51" s="13" t="n">
        <f aca="false">IF(ROW()-ROW($A$22)&lt;=($D$9),ROW()-ROW($A$22),"")</f>
        <v>29</v>
      </c>
      <c r="B51" s="14" t="n">
        <f aca="false">IF(A51="","",$D$6)</f>
        <v>500</v>
      </c>
      <c r="C51" s="14" t="n">
        <f aca="false">IF(A51="","",E50*$D$7)</f>
        <v>181.625058208749</v>
      </c>
      <c r="D51" s="14" t="n">
        <f aca="false">IF(A51="","",D50+C51)</f>
        <v>3121.73087908365</v>
      </c>
      <c r="E51" s="14" t="n">
        <f aca="false">IF(A51="","",(E50+B51)*(1+$D$8)+C51*$D$10)</f>
        <v>23431.1635988546</v>
      </c>
    </row>
    <row r="52" customFormat="false" ht="15" hidden="false" customHeight="false" outlineLevel="0" collapsed="false">
      <c r="A52" s="13" t="n">
        <f aca="false">IF(ROW()-ROW($A$22)&lt;=($D$9),ROW()-ROW($A$22),"")</f>
        <v>30</v>
      </c>
      <c r="B52" s="14" t="n">
        <f aca="false">IF(A52="","",$D$6)</f>
        <v>500</v>
      </c>
      <c r="C52" s="14" t="n">
        <f aca="false">IF(A52="","",E51*$D$7)</f>
        <v>187.449308790837</v>
      </c>
      <c r="D52" s="14" t="n">
        <f aca="false">IF(A52="","",D51+C52)</f>
        <v>3309.18018787448</v>
      </c>
      <c r="E52" s="14" t="n">
        <f aca="false">IF(A52="","",(E51+B52)*(1+$D$8)+C52*$D$10)</f>
        <v>24166.4752348431</v>
      </c>
    </row>
    <row r="53" customFormat="false" ht="15" hidden="false" customHeight="false" outlineLevel="0" collapsed="false">
      <c r="A53" s="13" t="n">
        <f aca="false">IF(ROW()-ROW($A$22)&lt;=($D$9),ROW()-ROW($A$22),"")</f>
        <v>31</v>
      </c>
      <c r="B53" s="14" t="n">
        <f aca="false">IF(A53="","",$D$6)</f>
        <v>500</v>
      </c>
      <c r="C53" s="14" t="n">
        <f aca="false">IF(A53="","",E52*$D$7)</f>
        <v>193.331801878745</v>
      </c>
      <c r="D53" s="14" t="n">
        <f aca="false">IF(A53="","",D52+C53)</f>
        <v>3502.51198975323</v>
      </c>
      <c r="E53" s="14" t="n">
        <f aca="false">IF(A53="","",(E52+B53)*(1+$D$8)+C53*$D$10)</f>
        <v>24909.1399871915</v>
      </c>
    </row>
    <row r="54" customFormat="false" ht="15" hidden="false" customHeight="false" outlineLevel="0" collapsed="false">
      <c r="A54" s="13" t="n">
        <f aca="false">IF(ROW()-ROW($A$22)&lt;=($D$9),ROW()-ROW($A$22),"")</f>
        <v>32</v>
      </c>
      <c r="B54" s="14" t="n">
        <f aca="false">IF(A54="","",$D$6)</f>
        <v>500</v>
      </c>
      <c r="C54" s="14" t="n">
        <f aca="false">IF(A54="","",E53*$D$7)</f>
        <v>199.273119897532</v>
      </c>
      <c r="D54" s="14" t="n">
        <f aca="false">IF(A54="","",D53+C54)</f>
        <v>3701.78510965076</v>
      </c>
      <c r="E54" s="14" t="n">
        <f aca="false">IF(A54="","",(E53+B54)*(1+$D$8)+C54*$D$10)</f>
        <v>25659.2313870635</v>
      </c>
    </row>
    <row r="55" customFormat="false" ht="15" hidden="false" customHeight="false" outlineLevel="0" collapsed="false">
      <c r="A55" s="13" t="n">
        <f aca="false">IF(ROW()-ROW($A$22)&lt;=($D$9),ROW()-ROW($A$22),"")</f>
        <v>33</v>
      </c>
      <c r="B55" s="14" t="n">
        <f aca="false">IF(A55="","",$D$6)</f>
        <v>500</v>
      </c>
      <c r="C55" s="14" t="n">
        <f aca="false">IF(A55="","",E54*$D$7)</f>
        <v>205.273851096508</v>
      </c>
      <c r="D55" s="14" t="n">
        <f aca="false">IF(A55="","",D54+C55)</f>
        <v>3907.05896074727</v>
      </c>
      <c r="E55" s="14" t="n">
        <f aca="false">IF(A55="","",(E54+B55)*(1+$D$8)+C55*$D$10)</f>
        <v>26416.8237009341</v>
      </c>
    </row>
    <row r="56" customFormat="false" ht="15" hidden="false" customHeight="false" outlineLevel="0" collapsed="false">
      <c r="A56" s="13" t="n">
        <f aca="false">IF(ROW()-ROW($A$22)&lt;=($D$9),ROW()-ROW($A$22),"")</f>
        <v>34</v>
      </c>
      <c r="B56" s="14" t="n">
        <f aca="false">IF(A56="","",$D$6)</f>
        <v>500</v>
      </c>
      <c r="C56" s="14" t="n">
        <f aca="false">IF(A56="","",E55*$D$7)</f>
        <v>211.334589607473</v>
      </c>
      <c r="D56" s="14" t="n">
        <f aca="false">IF(A56="","",D55+C56)</f>
        <v>4118.39355035474</v>
      </c>
      <c r="E56" s="14" t="n">
        <f aca="false">IF(A56="","",(E55+B56)*(1+$D$8)+C56*$D$10)</f>
        <v>27181.9919379434</v>
      </c>
    </row>
    <row r="57" customFormat="false" ht="15" hidden="false" customHeight="false" outlineLevel="0" collapsed="false">
      <c r="A57" s="13" t="n">
        <f aca="false">IF(ROW()-ROW($A$22)&lt;=($D$9),ROW()-ROW($A$22),"")</f>
        <v>35</v>
      </c>
      <c r="B57" s="14" t="n">
        <f aca="false">IF(A57="","",$D$6)</f>
        <v>500</v>
      </c>
      <c r="C57" s="14" t="n">
        <f aca="false">IF(A57="","",E56*$D$7)</f>
        <v>217.455935503547</v>
      </c>
      <c r="D57" s="14" t="n">
        <f aca="false">IF(A57="","",D56+C57)</f>
        <v>4335.84948585829</v>
      </c>
      <c r="E57" s="14" t="n">
        <f aca="false">IF(A57="","",(E56+B57)*(1+$D$8)+C57*$D$10)</f>
        <v>27954.8118573229</v>
      </c>
    </row>
    <row r="58" customFormat="false" ht="15" hidden="false" customHeight="false" outlineLevel="0" collapsed="false">
      <c r="A58" s="13" t="n">
        <f aca="false">IF(ROW()-ROW($A$22)&lt;=($D$9),ROW()-ROW($A$22),"")</f>
        <v>36</v>
      </c>
      <c r="B58" s="14" t="n">
        <f aca="false">IF(A58="","",$D$6)</f>
        <v>500</v>
      </c>
      <c r="C58" s="14" t="n">
        <f aca="false">IF(A58="","",E57*$D$7)</f>
        <v>223.638494858583</v>
      </c>
      <c r="D58" s="14" t="n">
        <f aca="false">IF(A58="","",D57+C58)</f>
        <v>4559.48798071687</v>
      </c>
      <c r="E58" s="14" t="n">
        <f aca="false">IF(A58="","",(E57+B58)*(1+$D$8)+C58*$D$10)</f>
        <v>28735.3599758961</v>
      </c>
    </row>
    <row r="59" customFormat="false" ht="15" hidden="false" customHeight="false" outlineLevel="0" collapsed="false">
      <c r="A59" s="13" t="n">
        <f aca="false">IF(ROW()-ROW($A$22)&lt;=($D$9),ROW()-ROW($A$22),"")</f>
        <v>37</v>
      </c>
      <c r="B59" s="14" t="n">
        <f aca="false">IF(A59="","",$D$6)</f>
        <v>500</v>
      </c>
      <c r="C59" s="14" t="n">
        <f aca="false">IF(A59="","",E58*$D$7)</f>
        <v>229.882879807169</v>
      </c>
      <c r="D59" s="14" t="n">
        <f aca="false">IF(A59="","",D58+C59)</f>
        <v>4789.37086052404</v>
      </c>
      <c r="E59" s="14" t="n">
        <f aca="false">IF(A59="","",(E58+B59)*(1+$D$8)+C59*$D$10)</f>
        <v>29523.7135756551</v>
      </c>
    </row>
    <row r="60" customFormat="false" ht="15" hidden="false" customHeight="false" outlineLevel="0" collapsed="false">
      <c r="A60" s="13" t="n">
        <f aca="false">IF(ROW()-ROW($A$22)&lt;=($D$9),ROW()-ROW($A$22),"")</f>
        <v>38</v>
      </c>
      <c r="B60" s="14" t="n">
        <f aca="false">IF(A60="","",$D$6)</f>
        <v>500</v>
      </c>
      <c r="C60" s="14" t="n">
        <f aca="false">IF(A60="","",E59*$D$7)</f>
        <v>236.18970860524</v>
      </c>
      <c r="D60" s="14" t="n">
        <f aca="false">IF(A60="","",D59+C60)</f>
        <v>5025.56056912928</v>
      </c>
      <c r="E60" s="14" t="n">
        <f aca="false">IF(A60="","",(E59+B60)*(1+$D$8)+C60*$D$10)</f>
        <v>30319.9507114116</v>
      </c>
    </row>
    <row r="61" customFormat="false" ht="15" hidden="false" customHeight="false" outlineLevel="0" collapsed="false">
      <c r="A61" s="13" t="n">
        <f aca="false">IF(ROW()-ROW($A$22)&lt;=($D$9),ROW()-ROW($A$22),"")</f>
        <v>39</v>
      </c>
      <c r="B61" s="14" t="n">
        <f aca="false">IF(A61="","",$D$6)</f>
        <v>500</v>
      </c>
      <c r="C61" s="14" t="n">
        <f aca="false">IF(A61="","",E60*$D$7)</f>
        <v>242.559605691293</v>
      </c>
      <c r="D61" s="14" t="n">
        <f aca="false">IF(A61="","",D60+C61)</f>
        <v>5268.12017482057</v>
      </c>
      <c r="E61" s="14" t="n">
        <f aca="false">IF(A61="","",(E60+B61)*(1+$D$8)+C61*$D$10)</f>
        <v>31124.1502185257</v>
      </c>
    </row>
    <row r="62" customFormat="false" ht="15" hidden="false" customHeight="false" outlineLevel="0" collapsed="false">
      <c r="A62" s="13" t="n">
        <f aca="false">IF(ROW()-ROW($A$22)&lt;=($D$9),ROW()-ROW($A$22),"")</f>
        <v>40</v>
      </c>
      <c r="B62" s="14" t="n">
        <f aca="false">IF(A62="","",$D$6)</f>
        <v>500</v>
      </c>
      <c r="C62" s="14" t="n">
        <f aca="false">IF(A62="","",E61*$D$7)</f>
        <v>248.993201748206</v>
      </c>
      <c r="D62" s="14" t="n">
        <f aca="false">IF(A62="","",D61+C62)</f>
        <v>5517.11337656878</v>
      </c>
      <c r="E62" s="14" t="n">
        <f aca="false">IF(A62="","",(E61+B62)*(1+$D$8)+C62*$D$10)</f>
        <v>31936.391720711</v>
      </c>
    </row>
    <row r="63" customFormat="false" ht="15" hidden="false" customHeight="false" outlineLevel="0" collapsed="false">
      <c r="A63" s="13" t="n">
        <f aca="false">IF(ROW()-ROW($A$22)&lt;=($D$9),ROW()-ROW($A$22),"")</f>
        <v>41</v>
      </c>
      <c r="B63" s="14" t="n">
        <f aca="false">IF(A63="","",$D$6)</f>
        <v>500</v>
      </c>
      <c r="C63" s="14" t="n">
        <f aca="false">IF(A63="","",E62*$D$7)</f>
        <v>255.491133765688</v>
      </c>
      <c r="D63" s="14" t="n">
        <f aca="false">IF(A63="","",D62+C63)</f>
        <v>5772.60451033447</v>
      </c>
      <c r="E63" s="14" t="n">
        <f aca="false">IF(A63="","",(E62+B63)*(1+$D$8)+C63*$D$10)</f>
        <v>32756.7556379181</v>
      </c>
    </row>
    <row r="64" customFormat="false" ht="15" hidden="false" customHeight="false" outlineLevel="0" collapsed="false">
      <c r="A64" s="13" t="n">
        <f aca="false">IF(ROW()-ROW($A$22)&lt;=($D$9),ROW()-ROW($A$22),"")</f>
        <v>42</v>
      </c>
      <c r="B64" s="14" t="n">
        <f aca="false">IF(A64="","",$D$6)</f>
        <v>500</v>
      </c>
      <c r="C64" s="14" t="n">
        <f aca="false">IF(A64="","",E63*$D$7)</f>
        <v>262.054045103345</v>
      </c>
      <c r="D64" s="14" t="n">
        <f aca="false">IF(A64="","",D63+C64)</f>
        <v>6034.65855543781</v>
      </c>
      <c r="E64" s="14" t="n">
        <f aca="false">IF(A64="","",(E63+B64)*(1+$D$8)+C64*$D$10)</f>
        <v>33585.3231942973</v>
      </c>
    </row>
    <row r="65" customFormat="false" ht="15" hidden="false" customHeight="false" outlineLevel="0" collapsed="false">
      <c r="A65" s="13" t="n">
        <f aca="false">IF(ROW()-ROW($A$22)&lt;=($D$9),ROW()-ROW($A$22),"")</f>
        <v>43</v>
      </c>
      <c r="B65" s="14" t="n">
        <f aca="false">IF(A65="","",$D$6)</f>
        <v>500</v>
      </c>
      <c r="C65" s="14" t="n">
        <f aca="false">IF(A65="","",E64*$D$7)</f>
        <v>268.682585554378</v>
      </c>
      <c r="D65" s="14" t="n">
        <f aca="false">IF(A65="","",D64+C65)</f>
        <v>6303.34114099219</v>
      </c>
      <c r="E65" s="14" t="n">
        <f aca="false">IF(A65="","",(E64+B65)*(1+$D$8)+C65*$D$10)</f>
        <v>34422.1764262402</v>
      </c>
    </row>
    <row r="66" customFormat="false" ht="15" hidden="false" customHeight="false" outlineLevel="0" collapsed="false">
      <c r="A66" s="13" t="n">
        <f aca="false">IF(ROW()-ROW($A$22)&lt;=($D$9),ROW()-ROW($A$22),"")</f>
        <v>44</v>
      </c>
      <c r="B66" s="14" t="n">
        <f aca="false">IF(A66="","",$D$6)</f>
        <v>500</v>
      </c>
      <c r="C66" s="14" t="n">
        <f aca="false">IF(A66="","",E65*$D$7)</f>
        <v>275.377411409922</v>
      </c>
      <c r="D66" s="14" t="n">
        <f aca="false">IF(A66="","",D65+C66)</f>
        <v>6578.71855240211</v>
      </c>
      <c r="E66" s="14" t="n">
        <f aca="false">IF(A66="","",(E65+B66)*(1+$D$8)+C66*$D$10)</f>
        <v>35267.3981905026</v>
      </c>
    </row>
    <row r="67" customFormat="false" ht="15" hidden="false" customHeight="false" outlineLevel="0" collapsed="false">
      <c r="A67" s="13" t="n">
        <f aca="false">IF(ROW()-ROW($A$22)&lt;=($D$9),ROW()-ROW($A$22),"")</f>
        <v>45</v>
      </c>
      <c r="B67" s="14" t="n">
        <f aca="false">IF(A67="","",$D$6)</f>
        <v>500</v>
      </c>
      <c r="C67" s="14" t="n">
        <f aca="false">IF(A67="","",E66*$D$7)</f>
        <v>282.139185524021</v>
      </c>
      <c r="D67" s="14" t="n">
        <f aca="false">IF(A67="","",D66+C67)</f>
        <v>6860.85773792613</v>
      </c>
      <c r="E67" s="14" t="n">
        <f aca="false">IF(A67="","",(E66+B67)*(1+$D$8)+C67*$D$10)</f>
        <v>36121.0721724077</v>
      </c>
    </row>
    <row r="68" customFormat="false" ht="15" hidden="false" customHeight="false" outlineLevel="0" collapsed="false">
      <c r="A68" s="13" t="n">
        <f aca="false">IF(ROW()-ROW($A$22)&lt;=($D$9),ROW()-ROW($A$22),"")</f>
        <v>46</v>
      </c>
      <c r="B68" s="14" t="n">
        <f aca="false">IF(A68="","",$D$6)</f>
        <v>500</v>
      </c>
      <c r="C68" s="14" t="n">
        <f aca="false">IF(A68="","",E67*$D$7)</f>
        <v>288.968577379261</v>
      </c>
      <c r="D68" s="14" t="n">
        <f aca="false">IF(A68="","",D67+C68)</f>
        <v>7149.82631530539</v>
      </c>
      <c r="E68" s="14" t="n">
        <f aca="false">IF(A68="","",(E67+B68)*(1+$D$8)+C68*$D$10)</f>
        <v>36983.2828941318</v>
      </c>
    </row>
    <row r="69" customFormat="false" ht="15" hidden="false" customHeight="false" outlineLevel="0" collapsed="false">
      <c r="A69" s="13" t="n">
        <f aca="false">IF(ROW()-ROW($A$22)&lt;=($D$9),ROW()-ROW($A$22),"")</f>
        <v>47</v>
      </c>
      <c r="B69" s="14" t="n">
        <f aca="false">IF(A69="","",$D$6)</f>
        <v>500</v>
      </c>
      <c r="C69" s="14" t="n">
        <f aca="false">IF(A69="","",E68*$D$7)</f>
        <v>295.866263153054</v>
      </c>
      <c r="D69" s="14" t="n">
        <f aca="false">IF(A69="","",D68+C69)</f>
        <v>7445.69257845845</v>
      </c>
      <c r="E69" s="14" t="n">
        <f aca="false">IF(A69="","",(E68+B69)*(1+$D$8)+C69*$D$10)</f>
        <v>37854.1157230731</v>
      </c>
    </row>
    <row r="70" customFormat="false" ht="15" hidden="false" customHeight="false" outlineLevel="0" collapsed="false">
      <c r="A70" s="13" t="n">
        <f aca="false">IF(ROW()-ROW($A$22)&lt;=($D$9),ROW()-ROW($A$22),"")</f>
        <v>48</v>
      </c>
      <c r="B70" s="14" t="n">
        <f aca="false">IF(A70="","",$D$6)</f>
        <v>500</v>
      </c>
      <c r="C70" s="14" t="n">
        <f aca="false">IF(A70="","",E69*$D$7)</f>
        <v>302.832925784585</v>
      </c>
      <c r="D70" s="14" t="n">
        <f aca="false">IF(A70="","",D69+C70)</f>
        <v>7748.52550424303</v>
      </c>
      <c r="E70" s="14" t="n">
        <f aca="false">IF(A70="","",(E69+B70)*(1+$D$8)+C70*$D$10)</f>
        <v>38733.6568803038</v>
      </c>
    </row>
    <row r="71" customFormat="false" ht="15" hidden="false" customHeight="false" outlineLevel="0" collapsed="false">
      <c r="A71" s="13" t="n">
        <f aca="false">IF(ROW()-ROW($A$22)&lt;=($D$9),ROW()-ROW($A$22),"")</f>
        <v>49</v>
      </c>
      <c r="B71" s="14" t="n">
        <f aca="false">IF(A71="","",$D$6)</f>
        <v>500</v>
      </c>
      <c r="C71" s="14" t="n">
        <f aca="false">IF(A71="","",E70*$D$7)</f>
        <v>309.86925504243</v>
      </c>
      <c r="D71" s="14" t="n">
        <f aca="false">IF(A71="","",D70+C71)</f>
        <v>8058.39475928546</v>
      </c>
      <c r="E71" s="14" t="n">
        <f aca="false">IF(A71="","",(E70+B71)*(1+$D$8)+C71*$D$10)</f>
        <v>39621.9934491068</v>
      </c>
    </row>
    <row r="72" customFormat="false" ht="15" hidden="false" customHeight="false" outlineLevel="0" collapsed="false">
      <c r="A72" s="13" t="n">
        <f aca="false">IF(ROW()-ROW($A$22)&lt;=($D$9),ROW()-ROW($A$22),"")</f>
        <v>50</v>
      </c>
      <c r="B72" s="14" t="n">
        <f aca="false">IF(A72="","",$D$6)</f>
        <v>500</v>
      </c>
      <c r="C72" s="14" t="n">
        <f aca="false">IF(A72="","",E71*$D$7)</f>
        <v>316.975947592855</v>
      </c>
      <c r="D72" s="14" t="n">
        <f aca="false">IF(A72="","",D71+C72)</f>
        <v>8375.37070687832</v>
      </c>
      <c r="E72" s="14" t="n">
        <f aca="false">IF(A72="","",(E71+B72)*(1+$D$8)+C72*$D$10)</f>
        <v>40519.2133835979</v>
      </c>
    </row>
    <row r="73" customFormat="false" ht="15" hidden="false" customHeight="false" outlineLevel="0" collapsed="false">
      <c r="A73" s="13" t="n">
        <f aca="false">IF(ROW()-ROW($A$22)&lt;=($D$9),ROW()-ROW($A$22),"")</f>
        <v>51</v>
      </c>
      <c r="B73" s="14" t="n">
        <f aca="false">IF(A73="","",$D$6)</f>
        <v>500</v>
      </c>
      <c r="C73" s="14" t="n">
        <f aca="false">IF(A73="","",E72*$D$7)</f>
        <v>324.153707068783</v>
      </c>
      <c r="D73" s="14" t="n">
        <f aca="false">IF(A73="","",D72+C73)</f>
        <v>8699.5244139471</v>
      </c>
      <c r="E73" s="14" t="n">
        <f aca="false">IF(A73="","",(E72+B73)*(1+$D$8)+C73*$D$10)</f>
        <v>41425.4055174339</v>
      </c>
    </row>
    <row r="74" customFormat="false" ht="15" hidden="false" customHeight="false" outlineLevel="0" collapsed="false">
      <c r="A74" s="13" t="n">
        <f aca="false">IF(ROW()-ROW($A$22)&lt;=($D$9),ROW()-ROW($A$22),"")</f>
        <v>52</v>
      </c>
      <c r="B74" s="14" t="n">
        <f aca="false">IF(A74="","",$D$6)</f>
        <v>500</v>
      </c>
      <c r="C74" s="14" t="n">
        <f aca="false">IF(A74="","",E73*$D$7)</f>
        <v>331.403244139471</v>
      </c>
      <c r="D74" s="14" t="n">
        <f aca="false">IF(A74="","",D73+C74)</f>
        <v>9030.92765808657</v>
      </c>
      <c r="E74" s="14" t="n">
        <f aca="false">IF(A74="","",(E73+B74)*(1+$D$8)+C74*$D$10)</f>
        <v>42340.6595726082</v>
      </c>
    </row>
    <row r="75" customFormat="false" ht="15" hidden="false" customHeight="false" outlineLevel="0" collapsed="false">
      <c r="A75" s="13" t="n">
        <f aca="false">IF(ROW()-ROW($A$22)&lt;=($D$9),ROW()-ROW($A$22),"")</f>
        <v>53</v>
      </c>
      <c r="B75" s="14" t="n">
        <f aca="false">IF(A75="","",$D$6)</f>
        <v>500</v>
      </c>
      <c r="C75" s="14" t="n">
        <f aca="false">IF(A75="","",E74*$D$7)</f>
        <v>338.725276580866</v>
      </c>
      <c r="D75" s="14" t="n">
        <f aca="false">IF(A75="","",D74+C75)</f>
        <v>9369.65293466744</v>
      </c>
      <c r="E75" s="14" t="n">
        <f aca="false">IF(A75="","",(E74+B75)*(1+$D$8)+C75*$D$10)</f>
        <v>43265.0661683343</v>
      </c>
    </row>
    <row r="76" customFormat="false" ht="15" hidden="false" customHeight="false" outlineLevel="0" collapsed="false">
      <c r="A76" s="13" t="n">
        <f aca="false">IF(ROW()-ROW($A$22)&lt;=($D$9),ROW()-ROW($A$22),"")</f>
        <v>54</v>
      </c>
      <c r="B76" s="14" t="n">
        <f aca="false">IF(A76="","",$D$6)</f>
        <v>500</v>
      </c>
      <c r="C76" s="14" t="n">
        <f aca="false">IF(A76="","",E75*$D$7)</f>
        <v>346.120529346674</v>
      </c>
      <c r="D76" s="14" t="n">
        <f aca="false">IF(A76="","",D75+C76)</f>
        <v>9715.77346401411</v>
      </c>
      <c r="E76" s="14" t="n">
        <f aca="false">IF(A76="","",(E75+B76)*(1+$D$8)+C76*$D$10)</f>
        <v>44198.7168300177</v>
      </c>
    </row>
    <row r="77" customFormat="false" ht="15" hidden="false" customHeight="false" outlineLevel="0" collapsed="false">
      <c r="A77" s="13" t="n">
        <f aca="false">IF(ROW()-ROW($A$22)&lt;=($D$9),ROW()-ROW($A$22),"")</f>
        <v>55</v>
      </c>
      <c r="B77" s="14" t="n">
        <f aca="false">IF(A77="","",$D$6)</f>
        <v>500</v>
      </c>
      <c r="C77" s="14" t="n">
        <f aca="false">IF(A77="","",E76*$D$7)</f>
        <v>353.589734640141</v>
      </c>
      <c r="D77" s="14" t="n">
        <f aca="false">IF(A77="","",D76+C77)</f>
        <v>10069.3631986543</v>
      </c>
      <c r="E77" s="14" t="n">
        <f aca="false">IF(A77="","",(E76+B77)*(1+$D$8)+C77*$D$10)</f>
        <v>45141.7039983178</v>
      </c>
    </row>
    <row r="78" customFormat="false" ht="15" hidden="false" customHeight="false" outlineLevel="0" collapsed="false">
      <c r="A78" s="13" t="n">
        <f aca="false">IF(ROW()-ROW($A$22)&lt;=($D$9),ROW()-ROW($A$22),"")</f>
        <v>56</v>
      </c>
      <c r="B78" s="14" t="n">
        <f aca="false">IF(A78="","",$D$6)</f>
        <v>500</v>
      </c>
      <c r="C78" s="14" t="n">
        <f aca="false">IF(A78="","",E77*$D$7)</f>
        <v>361.133631986543</v>
      </c>
      <c r="D78" s="14" t="n">
        <f aca="false">IF(A78="","",D77+C78)</f>
        <v>10430.4968306408</v>
      </c>
      <c r="E78" s="14" t="n">
        <f aca="false">IF(A78="","",(E77+B78)*(1+$D$8)+C78*$D$10)</f>
        <v>46094.121038301</v>
      </c>
    </row>
    <row r="79" customFormat="false" ht="15" hidden="false" customHeight="false" outlineLevel="0" collapsed="false">
      <c r="A79" s="13" t="n">
        <f aca="false">IF(ROW()-ROW($A$22)&lt;=($D$9),ROW()-ROW($A$22),"")</f>
        <v>57</v>
      </c>
      <c r="B79" s="14" t="n">
        <f aca="false">IF(A79="","",$D$6)</f>
        <v>500</v>
      </c>
      <c r="C79" s="14" t="n">
        <f aca="false">IF(A79="","",E78*$D$7)</f>
        <v>368.752968306408</v>
      </c>
      <c r="D79" s="14" t="n">
        <f aca="false">IF(A79="","",D78+C79)</f>
        <v>10799.2497989472</v>
      </c>
      <c r="E79" s="14" t="n">
        <f aca="false">IF(A79="","",(E78+B79)*(1+$D$8)+C79*$D$10)</f>
        <v>47056.062248684</v>
      </c>
    </row>
    <row r="80" customFormat="false" ht="15" hidden="false" customHeight="false" outlineLevel="0" collapsed="false">
      <c r="A80" s="13" t="n">
        <f aca="false">IF(ROW()-ROW($A$22)&lt;=($D$9),ROW()-ROW($A$22),"")</f>
        <v>58</v>
      </c>
      <c r="B80" s="14" t="n">
        <f aca="false">IF(A80="","",$D$6)</f>
        <v>500</v>
      </c>
      <c r="C80" s="14" t="n">
        <f aca="false">IF(A80="","",E79*$D$7)</f>
        <v>376.448497989472</v>
      </c>
      <c r="D80" s="14" t="n">
        <f aca="false">IF(A80="","",D79+C80)</f>
        <v>11175.6982969367</v>
      </c>
      <c r="E80" s="14" t="n">
        <f aca="false">IF(A80="","",(E79+B80)*(1+$D$8)+C80*$D$10)</f>
        <v>48027.6228711709</v>
      </c>
    </row>
    <row r="81" customFormat="false" ht="15" hidden="false" customHeight="false" outlineLevel="0" collapsed="false">
      <c r="A81" s="13" t="n">
        <f aca="false">IF(ROW()-ROW($A$22)&lt;=($D$9),ROW()-ROW($A$22),"")</f>
        <v>59</v>
      </c>
      <c r="B81" s="14" t="n">
        <f aca="false">IF(A81="","",$D$6)</f>
        <v>500</v>
      </c>
      <c r="C81" s="14" t="n">
        <f aca="false">IF(A81="","",E80*$D$7)</f>
        <v>384.220982969367</v>
      </c>
      <c r="D81" s="14" t="n">
        <f aca="false">IF(A81="","",D80+C81)</f>
        <v>11559.919279906</v>
      </c>
      <c r="E81" s="14" t="n">
        <f aca="false">IF(A81="","",(E80+B81)*(1+$D$8)+C81*$D$10)</f>
        <v>49008.8990998826</v>
      </c>
    </row>
    <row r="82" customFormat="false" ht="15" hidden="false" customHeight="false" outlineLevel="0" collapsed="false">
      <c r="A82" s="13" t="n">
        <f aca="false">IF(ROW()-ROW($A$22)&lt;=($D$9),ROW()-ROW($A$22),"")</f>
        <v>60</v>
      </c>
      <c r="B82" s="14" t="n">
        <f aca="false">IF(A82="","",$D$6)</f>
        <v>500</v>
      </c>
      <c r="C82" s="14" t="n">
        <f aca="false">IF(A82="","",E81*$D$7)</f>
        <v>392.071192799061</v>
      </c>
      <c r="D82" s="14" t="n">
        <f aca="false">IF(A82="","",D81+C82)</f>
        <v>11951.9904727051</v>
      </c>
      <c r="E82" s="14" t="n">
        <f aca="false">IF(A82="","",(E81+B82)*(1+$D$8)+C82*$D$10)</f>
        <v>49999.9880908814</v>
      </c>
    </row>
    <row r="83" customFormat="false" ht="15" hidden="false" customHeight="false" outlineLevel="0" collapsed="false">
      <c r="A83" s="13" t="str">
        <f aca="false">IF(ROW()-ROW($A$22)&lt;=($D$9),ROW()-ROW($A$22),"")</f>
        <v/>
      </c>
      <c r="B83" s="14" t="str">
        <f aca="false">IF(A83="","",$D$6)</f>
        <v/>
      </c>
      <c r="C83" s="14" t="str">
        <f aca="false">IF(A83="","",E82*$D$7)</f>
        <v/>
      </c>
      <c r="D83" s="14" t="str">
        <f aca="false">IF(A83="","",D82+C83)</f>
        <v/>
      </c>
      <c r="E83" s="14" t="str">
        <f aca="false">IF(A83="","",(E82+B83)*(1+$D$8)+C83*$D$10)</f>
        <v/>
      </c>
    </row>
    <row r="84" customFormat="false" ht="15" hidden="false" customHeight="false" outlineLevel="0" collapsed="false">
      <c r="A84" s="13" t="str">
        <f aca="false">IF(ROW()-ROW($A$22)&lt;=($D$9),ROW()-ROW($A$22),"")</f>
        <v/>
      </c>
      <c r="B84" s="14" t="str">
        <f aca="false">IF(A84="","",$D$6)</f>
        <v/>
      </c>
      <c r="C84" s="14" t="str">
        <f aca="false">IF(A84="","",E83*$D$7)</f>
        <v/>
      </c>
      <c r="D84" s="14" t="str">
        <f aca="false">IF(A84="","",D83+C84)</f>
        <v/>
      </c>
      <c r="E84" s="14" t="str">
        <f aca="false">IF(A84="","",(E83+B84)*(1+$D$8)+C84*$D$10)</f>
        <v/>
      </c>
    </row>
    <row r="85" customFormat="false" ht="15" hidden="false" customHeight="false" outlineLevel="0" collapsed="false">
      <c r="A85" s="13" t="str">
        <f aca="false">IF(ROW()-ROW($A$22)&lt;=($D$9),ROW()-ROW($A$22),"")</f>
        <v/>
      </c>
      <c r="B85" s="14" t="str">
        <f aca="false">IF(A85="","",$D$6)</f>
        <v/>
      </c>
      <c r="C85" s="14" t="str">
        <f aca="false">IF(A85="","",E84*$D$7)</f>
        <v/>
      </c>
      <c r="D85" s="14" t="str">
        <f aca="false">IF(A85="","",D84+C85)</f>
        <v/>
      </c>
      <c r="E85" s="14" t="str">
        <f aca="false">IF(A85="","",(E84+B85)*(1+$D$8)+C85*$D$10)</f>
        <v/>
      </c>
    </row>
    <row r="86" customFormat="false" ht="15" hidden="false" customHeight="false" outlineLevel="0" collapsed="false">
      <c r="A86" s="13" t="str">
        <f aca="false">IF(ROW()-ROW($A$22)&lt;=($D$9),ROW()-ROW($A$22),"")</f>
        <v/>
      </c>
      <c r="B86" s="14" t="str">
        <f aca="false">IF(A86="","",$D$6)</f>
        <v/>
      </c>
      <c r="C86" s="14" t="str">
        <f aca="false">IF(A86="","",E85*$D$7)</f>
        <v/>
      </c>
      <c r="D86" s="14" t="str">
        <f aca="false">IF(A86="","",D85+C86)</f>
        <v/>
      </c>
      <c r="E86" s="14" t="str">
        <f aca="false">IF(A86="","",(E85+B86)*(1+$D$8)+C86*$D$10)</f>
        <v/>
      </c>
    </row>
    <row r="87" customFormat="false" ht="15" hidden="false" customHeight="false" outlineLevel="0" collapsed="false">
      <c r="A87" s="13" t="str">
        <f aca="false">IF(ROW()-ROW($A$22)&lt;=($D$9),ROW()-ROW($A$22),"")</f>
        <v/>
      </c>
      <c r="B87" s="14" t="str">
        <f aca="false">IF(A87="","",$D$6)</f>
        <v/>
      </c>
      <c r="C87" s="14" t="str">
        <f aca="false">IF(A87="","",E86*$D$7)</f>
        <v/>
      </c>
      <c r="D87" s="14" t="str">
        <f aca="false">IF(A87="","",D86+C87)</f>
        <v/>
      </c>
      <c r="E87" s="14" t="str">
        <f aca="false">IF(A87="","",(E86+B87)*(1+$D$8)+C87*$D$10)</f>
        <v/>
      </c>
    </row>
    <row r="88" customFormat="false" ht="15" hidden="false" customHeight="false" outlineLevel="0" collapsed="false">
      <c r="A88" s="13" t="str">
        <f aca="false">IF(ROW()-ROW($A$22)&lt;=($D$9),ROW()-ROW($A$22),"")</f>
        <v/>
      </c>
      <c r="B88" s="14" t="str">
        <f aca="false">IF(A88="","",$D$6)</f>
        <v/>
      </c>
      <c r="C88" s="14" t="str">
        <f aca="false">IF(A88="","",E87*$D$7)</f>
        <v/>
      </c>
      <c r="D88" s="14" t="str">
        <f aca="false">IF(A88="","",D87+C88)</f>
        <v/>
      </c>
      <c r="E88" s="14" t="str">
        <f aca="false">IF(A88="","",(E87+B88)*(1+$D$8)+C88*$D$10)</f>
        <v/>
      </c>
    </row>
    <row r="89" customFormat="false" ht="15" hidden="false" customHeight="false" outlineLevel="0" collapsed="false">
      <c r="A89" s="13" t="str">
        <f aca="false">IF(ROW()-ROW($A$22)&lt;=($D$9),ROW()-ROW($A$22),"")</f>
        <v/>
      </c>
      <c r="B89" s="14" t="str">
        <f aca="false">IF(A89="","",$D$6)</f>
        <v/>
      </c>
      <c r="C89" s="14" t="str">
        <f aca="false">IF(A89="","",E88*$D$7)</f>
        <v/>
      </c>
      <c r="D89" s="14" t="str">
        <f aca="false">IF(A89="","",D88+C89)</f>
        <v/>
      </c>
      <c r="E89" s="14" t="str">
        <f aca="false">IF(A89="","",(E88+B89)*(1+$D$8)+C89*$D$10)</f>
        <v/>
      </c>
    </row>
    <row r="90" customFormat="false" ht="15" hidden="false" customHeight="false" outlineLevel="0" collapsed="false">
      <c r="A90" s="13" t="str">
        <f aca="false">IF(ROW()-ROW($A$22)&lt;=($D$9),ROW()-ROW($A$22),"")</f>
        <v/>
      </c>
      <c r="B90" s="14" t="str">
        <f aca="false">IF(A90="","",$D$6)</f>
        <v/>
      </c>
      <c r="C90" s="14" t="str">
        <f aca="false">IF(A90="","",E89*$D$7)</f>
        <v/>
      </c>
      <c r="D90" s="14" t="str">
        <f aca="false">IF(A90="","",D89+C90)</f>
        <v/>
      </c>
      <c r="E90" s="14" t="str">
        <f aca="false">IF(A90="","",(E89+B90)*(1+$D$8)+C90*$D$10)</f>
        <v/>
      </c>
    </row>
    <row r="91" customFormat="false" ht="15" hidden="false" customHeight="false" outlineLevel="0" collapsed="false">
      <c r="A91" s="13" t="str">
        <f aca="false">IF(ROW()-ROW($A$22)&lt;=($D$9),ROW()-ROW($A$22),"")</f>
        <v/>
      </c>
      <c r="B91" s="14" t="str">
        <f aca="false">IF(A91="","",$D$6)</f>
        <v/>
      </c>
      <c r="C91" s="14" t="str">
        <f aca="false">IF(A91="","",E90*$D$7)</f>
        <v/>
      </c>
      <c r="D91" s="14" t="str">
        <f aca="false">IF(A91="","",D90+C91)</f>
        <v/>
      </c>
      <c r="E91" s="14" t="str">
        <f aca="false">IF(A91="","",(E90+B91)*(1+$D$8)+C91*$D$10)</f>
        <v/>
      </c>
    </row>
    <row r="92" customFormat="false" ht="15" hidden="false" customHeight="false" outlineLevel="0" collapsed="false">
      <c r="A92" s="13" t="str">
        <f aca="false">IF(ROW()-ROW($A$22)&lt;=($D$9),ROW()-ROW($A$22),"")</f>
        <v/>
      </c>
      <c r="B92" s="14" t="str">
        <f aca="false">IF(A92="","",$D$6)</f>
        <v/>
      </c>
      <c r="C92" s="14" t="str">
        <f aca="false">IF(A92="","",E91*$D$7)</f>
        <v/>
      </c>
      <c r="D92" s="14" t="str">
        <f aca="false">IF(A92="","",D91+C92)</f>
        <v/>
      </c>
      <c r="E92" s="14" t="str">
        <f aca="false">IF(A92="","",(E91+B92)*(1+$D$8)+C92*$D$10)</f>
        <v/>
      </c>
    </row>
    <row r="93" customFormat="false" ht="15" hidden="false" customHeight="false" outlineLevel="0" collapsed="false">
      <c r="A93" s="13" t="str">
        <f aca="false">IF(ROW()-ROW($A$22)&lt;=($D$9),ROW()-ROW($A$22),"")</f>
        <v/>
      </c>
      <c r="B93" s="14" t="str">
        <f aca="false">IF(A93="","",$D$6)</f>
        <v/>
      </c>
      <c r="C93" s="14" t="str">
        <f aca="false">IF(A93="","",E92*$D$7)</f>
        <v/>
      </c>
      <c r="D93" s="14" t="str">
        <f aca="false">IF(A93="","",D92+C93)</f>
        <v/>
      </c>
      <c r="E93" s="14" t="str">
        <f aca="false">IF(A93="","",(E92+B93)*(1+$D$8)+C93*$D$10)</f>
        <v/>
      </c>
    </row>
    <row r="94" customFormat="false" ht="15" hidden="false" customHeight="false" outlineLevel="0" collapsed="false">
      <c r="A94" s="13" t="str">
        <f aca="false">IF(ROW()-ROW($A$22)&lt;=($D$9),ROW()-ROW($A$22),"")</f>
        <v/>
      </c>
      <c r="B94" s="14" t="str">
        <f aca="false">IF(A94="","",$D$6)</f>
        <v/>
      </c>
      <c r="C94" s="14" t="str">
        <f aca="false">IF(A94="","",E93*$D$7)</f>
        <v/>
      </c>
      <c r="D94" s="14" t="str">
        <f aca="false">IF(A94="","",D93+C94)</f>
        <v/>
      </c>
      <c r="E94" s="14" t="str">
        <f aca="false">IF(A94="","",(E93+B94)*(1+$D$8)+C94*$D$10)</f>
        <v/>
      </c>
    </row>
    <row r="95" customFormat="false" ht="15" hidden="false" customHeight="false" outlineLevel="0" collapsed="false">
      <c r="A95" s="13" t="str">
        <f aca="false">IF(ROW()-ROW($A$22)&lt;=($D$9),ROW()-ROW($A$22),"")</f>
        <v/>
      </c>
      <c r="B95" s="14" t="str">
        <f aca="false">IF(A95="","",$D$6)</f>
        <v/>
      </c>
      <c r="C95" s="14" t="str">
        <f aca="false">IF(A95="","",E94*$D$7)</f>
        <v/>
      </c>
      <c r="D95" s="14" t="str">
        <f aca="false">IF(A95="","",D94+C95)</f>
        <v/>
      </c>
      <c r="E95" s="14" t="str">
        <f aca="false">IF(A95="","",(E94+B95)*(1+$D$8)+C95*$D$10)</f>
        <v/>
      </c>
    </row>
    <row r="96" customFormat="false" ht="15" hidden="false" customHeight="false" outlineLevel="0" collapsed="false">
      <c r="A96" s="13" t="str">
        <f aca="false">IF(ROW()-ROW($A$22)&lt;=($D$9),ROW()-ROW($A$22),"")</f>
        <v/>
      </c>
      <c r="B96" s="14" t="str">
        <f aca="false">IF(A96="","",$D$6)</f>
        <v/>
      </c>
      <c r="C96" s="14" t="str">
        <f aca="false">IF(A96="","",E95*$D$7)</f>
        <v/>
      </c>
      <c r="D96" s="14" t="str">
        <f aca="false">IF(A96="","",D95+C96)</f>
        <v/>
      </c>
      <c r="E96" s="14" t="str">
        <f aca="false">IF(A96="","",(E95+B96)*(1+$D$8)+C96*$D$10)</f>
        <v/>
      </c>
    </row>
    <row r="97" customFormat="false" ht="15" hidden="false" customHeight="false" outlineLevel="0" collapsed="false">
      <c r="A97" s="13" t="str">
        <f aca="false">IF(ROW()-ROW($A$22)&lt;=($D$9),ROW()-ROW($A$22),"")</f>
        <v/>
      </c>
      <c r="B97" s="14" t="str">
        <f aca="false">IF(A97="","",$D$6)</f>
        <v/>
      </c>
      <c r="C97" s="14" t="str">
        <f aca="false">IF(A97="","",E96*$D$7)</f>
        <v/>
      </c>
      <c r="D97" s="14" t="str">
        <f aca="false">IF(A97="","",D96+C97)</f>
        <v/>
      </c>
      <c r="E97" s="14" t="str">
        <f aca="false">IF(A97="","",(E96+B97)*(1+$D$8)+C97*$D$10)</f>
        <v/>
      </c>
    </row>
    <row r="98" customFormat="false" ht="15" hidden="false" customHeight="false" outlineLevel="0" collapsed="false">
      <c r="A98" s="13" t="str">
        <f aca="false">IF(ROW()-ROW($A$22)&lt;=($D$9),ROW()-ROW($A$22),"")</f>
        <v/>
      </c>
      <c r="B98" s="14" t="str">
        <f aca="false">IF(A98="","",$D$6)</f>
        <v/>
      </c>
      <c r="C98" s="14" t="str">
        <f aca="false">IF(A98="","",E97*$D$7)</f>
        <v/>
      </c>
      <c r="D98" s="14" t="str">
        <f aca="false">IF(A98="","",D97+C98)</f>
        <v/>
      </c>
      <c r="E98" s="14" t="str">
        <f aca="false">IF(A98="","",(E97+B98)*(1+$D$8)+C98*$D$10)</f>
        <v/>
      </c>
    </row>
    <row r="99" customFormat="false" ht="15" hidden="false" customHeight="false" outlineLevel="0" collapsed="false">
      <c r="A99" s="13" t="str">
        <f aca="false">IF(ROW()-ROW($A$22)&lt;=($D$9),ROW()-ROW($A$22),"")</f>
        <v/>
      </c>
      <c r="B99" s="14" t="str">
        <f aca="false">IF(A99="","",$D$6)</f>
        <v/>
      </c>
      <c r="C99" s="14" t="str">
        <f aca="false">IF(A99="","",E98*$D$7)</f>
        <v/>
      </c>
      <c r="D99" s="14" t="str">
        <f aca="false">IF(A99="","",D98+C99)</f>
        <v/>
      </c>
      <c r="E99" s="14" t="str">
        <f aca="false">IF(A99="","",(E98+B99)*(1+$D$8)+C99*$D$10)</f>
        <v/>
      </c>
    </row>
    <row r="100" customFormat="false" ht="15" hidden="false" customHeight="false" outlineLevel="0" collapsed="false">
      <c r="A100" s="13" t="str">
        <f aca="false">IF(ROW()-ROW($A$22)&lt;=($D$9),ROW()-ROW($A$22),"")</f>
        <v/>
      </c>
      <c r="B100" s="14" t="str">
        <f aca="false">IF(A100="","",$D$6)</f>
        <v/>
      </c>
      <c r="C100" s="14" t="str">
        <f aca="false">IF(A100="","",E99*$D$7)</f>
        <v/>
      </c>
      <c r="D100" s="14" t="str">
        <f aca="false">IF(A100="","",D99+C100)</f>
        <v/>
      </c>
      <c r="E100" s="14" t="str">
        <f aca="false">IF(A100="","",(E99+B100)*(1+$D$8)+C100*$D$10)</f>
        <v/>
      </c>
    </row>
    <row r="101" customFormat="false" ht="15" hidden="false" customHeight="false" outlineLevel="0" collapsed="false">
      <c r="A101" s="13" t="str">
        <f aca="false">IF(ROW()-ROW($A$22)&lt;=($D$9),ROW()-ROW($A$22),"")</f>
        <v/>
      </c>
      <c r="B101" s="14" t="str">
        <f aca="false">IF(A101="","",$D$6)</f>
        <v/>
      </c>
      <c r="C101" s="14" t="str">
        <f aca="false">IF(A101="","",E100*$D$7)</f>
        <v/>
      </c>
      <c r="D101" s="14" t="str">
        <f aca="false">IF(A101="","",D100+C101)</f>
        <v/>
      </c>
      <c r="E101" s="14" t="str">
        <f aca="false">IF(A101="","",(E100+B101)*(1+$D$8)+C101*$D$10)</f>
        <v/>
      </c>
    </row>
    <row r="102" customFormat="false" ht="15" hidden="false" customHeight="false" outlineLevel="0" collapsed="false">
      <c r="A102" s="13" t="str">
        <f aca="false">IF(ROW()-ROW($A$22)&lt;=($D$9),ROW()-ROW($A$22),"")</f>
        <v/>
      </c>
      <c r="B102" s="14" t="str">
        <f aca="false">IF(A102="","",$D$6)</f>
        <v/>
      </c>
      <c r="C102" s="14" t="str">
        <f aca="false">IF(A102="","",E101*$D$7)</f>
        <v/>
      </c>
      <c r="D102" s="14" t="str">
        <f aca="false">IF(A102="","",D101+C102)</f>
        <v/>
      </c>
      <c r="E102" s="14" t="str">
        <f aca="false">IF(A102="","",(E101+B102)*(1+$D$8)+C102*$D$10)</f>
        <v/>
      </c>
    </row>
    <row r="103" customFormat="false" ht="15" hidden="false" customHeight="false" outlineLevel="0" collapsed="false">
      <c r="A103" s="13" t="str">
        <f aca="false">IF(ROW()-ROW($A$22)&lt;=($D$9),ROW()-ROW($A$22),"")</f>
        <v/>
      </c>
      <c r="B103" s="14" t="str">
        <f aca="false">IF(A103="","",$D$6)</f>
        <v/>
      </c>
      <c r="C103" s="14" t="str">
        <f aca="false">IF(A103="","",E102*$D$7)</f>
        <v/>
      </c>
      <c r="D103" s="14" t="str">
        <f aca="false">IF(A103="","",D102+C103)</f>
        <v/>
      </c>
      <c r="E103" s="14" t="str">
        <f aca="false">IF(A103="","",(E102+B103)*(1+$D$8)+C103*$D$10)</f>
        <v/>
      </c>
    </row>
    <row r="104" customFormat="false" ht="15" hidden="false" customHeight="false" outlineLevel="0" collapsed="false">
      <c r="A104" s="13" t="str">
        <f aca="false">IF(ROW()-ROW($A$22)&lt;=($D$9),ROW()-ROW($A$22),"")</f>
        <v/>
      </c>
      <c r="B104" s="14" t="str">
        <f aca="false">IF(A104="","",$D$6)</f>
        <v/>
      </c>
      <c r="C104" s="14" t="str">
        <f aca="false">IF(A104="","",E103*$D$7)</f>
        <v/>
      </c>
      <c r="D104" s="14" t="str">
        <f aca="false">IF(A104="","",D103+C104)</f>
        <v/>
      </c>
      <c r="E104" s="14" t="str">
        <f aca="false">IF(A104="","",(E103+B104)*(1+$D$8)+C104*$D$10)</f>
        <v/>
      </c>
    </row>
    <row r="105" customFormat="false" ht="15" hidden="false" customHeight="false" outlineLevel="0" collapsed="false">
      <c r="A105" s="13" t="str">
        <f aca="false">IF(ROW()-ROW($A$22)&lt;=($D$9),ROW()-ROW($A$22),"")</f>
        <v/>
      </c>
      <c r="B105" s="14" t="str">
        <f aca="false">IF(A105="","",$D$6)</f>
        <v/>
      </c>
      <c r="C105" s="14" t="str">
        <f aca="false">IF(A105="","",E104*$D$7)</f>
        <v/>
      </c>
      <c r="D105" s="14" t="str">
        <f aca="false">IF(A105="","",D104+C105)</f>
        <v/>
      </c>
      <c r="E105" s="14" t="str">
        <f aca="false">IF(A105="","",(E104+B105)*(1+$D$8)+C105*$D$10)</f>
        <v/>
      </c>
    </row>
    <row r="106" customFormat="false" ht="15" hidden="false" customHeight="false" outlineLevel="0" collapsed="false">
      <c r="A106" s="13" t="str">
        <f aca="false">IF(ROW()-ROW($A$22)&lt;=($D$9),ROW()-ROW($A$22),"")</f>
        <v/>
      </c>
      <c r="B106" s="14" t="str">
        <f aca="false">IF(A106="","",$D$6)</f>
        <v/>
      </c>
      <c r="C106" s="14" t="str">
        <f aca="false">IF(A106="","",E105*$D$7)</f>
        <v/>
      </c>
      <c r="D106" s="14" t="str">
        <f aca="false">IF(A106="","",D105+C106)</f>
        <v/>
      </c>
      <c r="E106" s="14" t="str">
        <f aca="false">IF(A106="","",(E105+B106)*(1+$D$8)+C106*$D$10)</f>
        <v/>
      </c>
    </row>
    <row r="107" customFormat="false" ht="15" hidden="false" customHeight="false" outlineLevel="0" collapsed="false">
      <c r="A107" s="13" t="str">
        <f aca="false">IF(ROW()-ROW($A$22)&lt;=($D$9),ROW()-ROW($A$22),"")</f>
        <v/>
      </c>
      <c r="B107" s="14" t="str">
        <f aca="false">IF(A107="","",$D$6)</f>
        <v/>
      </c>
      <c r="C107" s="14" t="str">
        <f aca="false">IF(A107="","",E106*$D$7)</f>
        <v/>
      </c>
      <c r="D107" s="14" t="str">
        <f aca="false">IF(A107="","",D106+C107)</f>
        <v/>
      </c>
      <c r="E107" s="14" t="str">
        <f aca="false">IF(A107="","",(E106+B107)*(1+$D$8)+C107*$D$10)</f>
        <v/>
      </c>
    </row>
    <row r="108" customFormat="false" ht="15" hidden="false" customHeight="false" outlineLevel="0" collapsed="false">
      <c r="A108" s="13" t="str">
        <f aca="false">IF(ROW()-ROW($A$22)&lt;=($D$9),ROW()-ROW($A$22),"")</f>
        <v/>
      </c>
      <c r="B108" s="14" t="str">
        <f aca="false">IF(A108="","",$D$6)</f>
        <v/>
      </c>
      <c r="C108" s="14" t="str">
        <f aca="false">IF(A108="","",E107*$D$7)</f>
        <v/>
      </c>
      <c r="D108" s="14" t="str">
        <f aca="false">IF(A108="","",D107+C108)</f>
        <v/>
      </c>
      <c r="E108" s="14" t="str">
        <f aca="false">IF(A108="","",(E107+B108)*(1+$D$8)+C108*$D$10)</f>
        <v/>
      </c>
    </row>
    <row r="109" customFormat="false" ht="15" hidden="false" customHeight="false" outlineLevel="0" collapsed="false">
      <c r="A109" s="13" t="str">
        <f aca="false">IF(ROW()-ROW($A$22)&lt;=($D$9),ROW()-ROW($A$22),"")</f>
        <v/>
      </c>
      <c r="B109" s="14" t="str">
        <f aca="false">IF(A109="","",$D$6)</f>
        <v/>
      </c>
      <c r="C109" s="14" t="str">
        <f aca="false">IF(A109="","",E108*$D$7)</f>
        <v/>
      </c>
      <c r="D109" s="14" t="str">
        <f aca="false">IF(A109="","",D108+C109)</f>
        <v/>
      </c>
      <c r="E109" s="14" t="str">
        <f aca="false">IF(A109="","",(E108+B109)*(1+$D$8)+C109*$D$10)</f>
        <v/>
      </c>
    </row>
    <row r="110" customFormat="false" ht="15" hidden="false" customHeight="false" outlineLevel="0" collapsed="false">
      <c r="A110" s="13" t="str">
        <f aca="false">IF(ROW()-ROW($A$22)&lt;=($D$9),ROW()-ROW($A$22),"")</f>
        <v/>
      </c>
      <c r="B110" s="14" t="str">
        <f aca="false">IF(A110="","",$D$6)</f>
        <v/>
      </c>
      <c r="C110" s="14" t="str">
        <f aca="false">IF(A110="","",E109*$D$7)</f>
        <v/>
      </c>
      <c r="D110" s="14" t="str">
        <f aca="false">IF(A110="","",D109+C110)</f>
        <v/>
      </c>
      <c r="E110" s="14" t="str">
        <f aca="false">IF(A110="","",(E109+B110)*(1+$D$8)+C110*$D$10)</f>
        <v/>
      </c>
    </row>
    <row r="111" customFormat="false" ht="15" hidden="false" customHeight="false" outlineLevel="0" collapsed="false">
      <c r="A111" s="13" t="str">
        <f aca="false">IF(ROW()-ROW($A$22)&lt;=($D$9),ROW()-ROW($A$22),"")</f>
        <v/>
      </c>
      <c r="B111" s="14" t="str">
        <f aca="false">IF(A111="","",$D$6)</f>
        <v/>
      </c>
      <c r="C111" s="14" t="str">
        <f aca="false">IF(A111="","",E110*$D$7)</f>
        <v/>
      </c>
      <c r="D111" s="14" t="str">
        <f aca="false">IF(A111="","",D110+C111)</f>
        <v/>
      </c>
      <c r="E111" s="14" t="str">
        <f aca="false">IF(A111="","",(E110+B111)*(1+$D$8)+C111*$D$10)</f>
        <v/>
      </c>
    </row>
    <row r="112" customFormat="false" ht="15" hidden="false" customHeight="false" outlineLevel="0" collapsed="false">
      <c r="A112" s="13" t="str">
        <f aca="false">IF(ROW()-ROW($A$22)&lt;=($D$9),ROW()-ROW($A$22),"")</f>
        <v/>
      </c>
      <c r="B112" s="14" t="str">
        <f aca="false">IF(A112="","",$D$6)</f>
        <v/>
      </c>
      <c r="C112" s="14" t="str">
        <f aca="false">IF(A112="","",E111*$D$7)</f>
        <v/>
      </c>
      <c r="D112" s="14" t="str">
        <f aca="false">IF(A112="","",D111+C112)</f>
        <v/>
      </c>
      <c r="E112" s="14" t="str">
        <f aca="false">IF(A112="","",(E111+B112)*(1+$D$8)+C112*$D$10)</f>
        <v/>
      </c>
    </row>
    <row r="113" customFormat="false" ht="15" hidden="false" customHeight="false" outlineLevel="0" collapsed="false">
      <c r="A113" s="13" t="str">
        <f aca="false">IF(ROW()-ROW($A$22)&lt;=($D$9),ROW()-ROW($A$22),"")</f>
        <v/>
      </c>
      <c r="B113" s="14" t="str">
        <f aca="false">IF(A113="","",$D$6)</f>
        <v/>
      </c>
      <c r="C113" s="14" t="str">
        <f aca="false">IF(A113="","",E112*$D$7)</f>
        <v/>
      </c>
      <c r="D113" s="14" t="str">
        <f aca="false">IF(A113="","",D112+C113)</f>
        <v/>
      </c>
      <c r="E113" s="14" t="str">
        <f aca="false">IF(A113="","",(E112+B113)*(1+$D$8)+C113*$D$10)</f>
        <v/>
      </c>
    </row>
    <row r="114" customFormat="false" ht="15" hidden="false" customHeight="false" outlineLevel="0" collapsed="false">
      <c r="A114" s="13" t="str">
        <f aca="false">IF(ROW()-ROW($A$22)&lt;=($D$9),ROW()-ROW($A$22),"")</f>
        <v/>
      </c>
      <c r="B114" s="14" t="str">
        <f aca="false">IF(A114="","",$D$6)</f>
        <v/>
      </c>
      <c r="C114" s="14" t="str">
        <f aca="false">IF(A114="","",E113*$D$7)</f>
        <v/>
      </c>
      <c r="D114" s="14" t="str">
        <f aca="false">IF(A114="","",D113+C114)</f>
        <v/>
      </c>
      <c r="E114" s="14" t="str">
        <f aca="false">IF(A114="","",(E113+B114)*(1+$D$8)+C114*$D$10)</f>
        <v/>
      </c>
    </row>
    <row r="115" customFormat="false" ht="15" hidden="false" customHeight="false" outlineLevel="0" collapsed="false">
      <c r="A115" s="13" t="str">
        <f aca="false">IF(ROW()-ROW($A$22)&lt;=($D$9),ROW()-ROW($A$22),"")</f>
        <v/>
      </c>
      <c r="B115" s="14" t="str">
        <f aca="false">IF(A115="","",$D$6)</f>
        <v/>
      </c>
      <c r="C115" s="14" t="str">
        <f aca="false">IF(A115="","",E114*$D$7)</f>
        <v/>
      </c>
      <c r="D115" s="14" t="str">
        <f aca="false">IF(A115="","",D114+C115)</f>
        <v/>
      </c>
      <c r="E115" s="14" t="str">
        <f aca="false">IF(A115="","",(E114+B115)*(1+$D$8)+C115*$D$10)</f>
        <v/>
      </c>
    </row>
    <row r="116" customFormat="false" ht="15" hidden="false" customHeight="false" outlineLevel="0" collapsed="false">
      <c r="A116" s="13" t="str">
        <f aca="false">IF(ROW()-ROW($A$22)&lt;=($D$9),ROW()-ROW($A$22),"")</f>
        <v/>
      </c>
      <c r="B116" s="14" t="str">
        <f aca="false">IF(A116="","",$D$6)</f>
        <v/>
      </c>
      <c r="C116" s="14" t="str">
        <f aca="false">IF(A116="","",E115*$D$7)</f>
        <v/>
      </c>
      <c r="D116" s="14" t="str">
        <f aca="false">IF(A116="","",D115+C116)</f>
        <v/>
      </c>
      <c r="E116" s="14" t="str">
        <f aca="false">IF(A116="","",(E115+B116)*(1+$D$8)+C116*$D$10)</f>
        <v/>
      </c>
    </row>
    <row r="117" customFormat="false" ht="15" hidden="false" customHeight="false" outlineLevel="0" collapsed="false">
      <c r="A117" s="13" t="str">
        <f aca="false">IF(ROW()-ROW($A$22)&lt;=($D$9),ROW()-ROW($A$22),"")</f>
        <v/>
      </c>
      <c r="B117" s="14" t="str">
        <f aca="false">IF(A117="","",$D$6)</f>
        <v/>
      </c>
      <c r="C117" s="14" t="str">
        <f aca="false">IF(A117="","",E116*$D$7)</f>
        <v/>
      </c>
      <c r="D117" s="14" t="str">
        <f aca="false">IF(A117="","",D116+C117)</f>
        <v/>
      </c>
      <c r="E117" s="14" t="str">
        <f aca="false">IF(A117="","",(E116+B117)*(1+$D$8)+C117*$D$10)</f>
        <v/>
      </c>
    </row>
    <row r="118" customFormat="false" ht="15" hidden="false" customHeight="false" outlineLevel="0" collapsed="false">
      <c r="A118" s="13" t="str">
        <f aca="false">IF(ROW()-ROW($A$22)&lt;=($D$9),ROW()-ROW($A$22),"")</f>
        <v/>
      </c>
      <c r="B118" s="14" t="str">
        <f aca="false">IF(A118="","",$D$6)</f>
        <v/>
      </c>
      <c r="C118" s="14" t="str">
        <f aca="false">IF(A118="","",E117*$D$7)</f>
        <v/>
      </c>
      <c r="D118" s="14" t="str">
        <f aca="false">IF(A118="","",D117+C118)</f>
        <v/>
      </c>
      <c r="E118" s="14" t="str">
        <f aca="false">IF(A118="","",(E117+B118)*(1+$D$8)+C118*$D$10)</f>
        <v/>
      </c>
    </row>
    <row r="119" customFormat="false" ht="15" hidden="false" customHeight="false" outlineLevel="0" collapsed="false">
      <c r="A119" s="13" t="str">
        <f aca="false">IF(ROW()-ROW($A$22)&lt;=($D$9),ROW()-ROW($A$22),"")</f>
        <v/>
      </c>
      <c r="B119" s="14" t="str">
        <f aca="false">IF(A119="","",$D$6)</f>
        <v/>
      </c>
      <c r="C119" s="14" t="str">
        <f aca="false">IF(A119="","",E118*$D$7)</f>
        <v/>
      </c>
      <c r="D119" s="14" t="str">
        <f aca="false">IF(A119="","",D118+C119)</f>
        <v/>
      </c>
      <c r="E119" s="14" t="str">
        <f aca="false">IF(A119="","",(E118+B119)*(1+$D$8)+C119*$D$10)</f>
        <v/>
      </c>
    </row>
    <row r="120" customFormat="false" ht="15" hidden="false" customHeight="false" outlineLevel="0" collapsed="false">
      <c r="A120" s="13" t="str">
        <f aca="false">IF(ROW()-ROW($A$22)&lt;=($D$9),ROW()-ROW($A$22),"")</f>
        <v/>
      </c>
      <c r="B120" s="14" t="str">
        <f aca="false">IF(A120="","",$D$6)</f>
        <v/>
      </c>
      <c r="C120" s="14" t="str">
        <f aca="false">IF(A120="","",E119*$D$7)</f>
        <v/>
      </c>
      <c r="D120" s="14" t="str">
        <f aca="false">IF(A120="","",D119+C120)</f>
        <v/>
      </c>
      <c r="E120" s="14" t="str">
        <f aca="false">IF(A120="","",(E119+B120)*(1+$D$8)+C120*$D$10)</f>
        <v/>
      </c>
    </row>
    <row r="121" customFormat="false" ht="15" hidden="false" customHeight="false" outlineLevel="0" collapsed="false">
      <c r="A121" s="13" t="str">
        <f aca="false">IF(ROW()-ROW($A$22)&lt;=($D$9),ROW()-ROW($A$22),"")</f>
        <v/>
      </c>
      <c r="B121" s="14" t="str">
        <f aca="false">IF(A121="","",$D$6)</f>
        <v/>
      </c>
      <c r="C121" s="14" t="str">
        <f aca="false">IF(A121="","",E120*$D$7)</f>
        <v/>
      </c>
      <c r="D121" s="14" t="str">
        <f aca="false">IF(A121="","",D120+C121)</f>
        <v/>
      </c>
      <c r="E121" s="14" t="str">
        <f aca="false">IF(A121="","",(E120+B121)*(1+$D$8)+C121*$D$10)</f>
        <v/>
      </c>
    </row>
    <row r="122" customFormat="false" ht="15" hidden="false" customHeight="false" outlineLevel="0" collapsed="false">
      <c r="A122" s="13" t="str">
        <f aca="false">IF(ROW()-ROW($A$22)&lt;=($D$9),ROW()-ROW($A$22),"")</f>
        <v/>
      </c>
      <c r="B122" s="14" t="str">
        <f aca="false">IF(A122="","",$D$6)</f>
        <v/>
      </c>
      <c r="C122" s="14" t="str">
        <f aca="false">IF(A122="","",E121*$D$7)</f>
        <v/>
      </c>
      <c r="D122" s="14" t="str">
        <f aca="false">IF(A122="","",D121+C122)</f>
        <v/>
      </c>
      <c r="E122" s="14" t="str">
        <f aca="false">IF(A122="","",(E121+B122)*(1+$D$8)+C122*$D$10)</f>
        <v/>
      </c>
    </row>
    <row r="123" customFormat="false" ht="15" hidden="false" customHeight="false" outlineLevel="0" collapsed="false">
      <c r="A123" s="13" t="str">
        <f aca="false">IF(ROW()-ROW($A$22)&lt;=($D$9),ROW()-ROW($A$22),"")</f>
        <v/>
      </c>
      <c r="B123" s="14" t="str">
        <f aca="false">IF(A123="","",$D$6)</f>
        <v/>
      </c>
      <c r="C123" s="14" t="str">
        <f aca="false">IF(A123="","",E122*$D$7)</f>
        <v/>
      </c>
      <c r="D123" s="14" t="str">
        <f aca="false">IF(A123="","",D122+C123)</f>
        <v/>
      </c>
      <c r="E123" s="14" t="str">
        <f aca="false">IF(A123="","",(E122+B123)*(1+$D$8)+C123*$D$10)</f>
        <v/>
      </c>
    </row>
    <row r="124" customFormat="false" ht="15" hidden="false" customHeight="false" outlineLevel="0" collapsed="false">
      <c r="A124" s="13" t="str">
        <f aca="false">IF(ROW()-ROW($A$22)&lt;=($D$9),ROW()-ROW($A$22),"")</f>
        <v/>
      </c>
      <c r="B124" s="14" t="str">
        <f aca="false">IF(A124="","",$D$6)</f>
        <v/>
      </c>
      <c r="C124" s="14" t="str">
        <f aca="false">IF(A124="","",E123*$D$7)</f>
        <v/>
      </c>
      <c r="D124" s="14" t="str">
        <f aca="false">IF(A124="","",D123+C124)</f>
        <v/>
      </c>
      <c r="E124" s="14" t="str">
        <f aca="false">IF(A124="","",(E123+B124)*(1+$D$8)+C124*$D$10)</f>
        <v/>
      </c>
    </row>
    <row r="125" customFormat="false" ht="15" hidden="false" customHeight="false" outlineLevel="0" collapsed="false">
      <c r="A125" s="13" t="str">
        <f aca="false">IF(ROW()-ROW($A$22)&lt;=($D$9),ROW()-ROW($A$22),"")</f>
        <v/>
      </c>
      <c r="B125" s="14" t="str">
        <f aca="false">IF(A125="","",$D$6)</f>
        <v/>
      </c>
      <c r="C125" s="14" t="str">
        <f aca="false">IF(A125="","",E124*$D$7)</f>
        <v/>
      </c>
      <c r="D125" s="14" t="str">
        <f aca="false">IF(A125="","",D124+C125)</f>
        <v/>
      </c>
      <c r="E125" s="14" t="str">
        <f aca="false">IF(A125="","",(E124+B125)*(1+$D$8)+C125*$D$10)</f>
        <v/>
      </c>
    </row>
    <row r="126" customFormat="false" ht="15" hidden="false" customHeight="false" outlineLevel="0" collapsed="false">
      <c r="A126" s="13" t="str">
        <f aca="false">IF(ROW()-ROW($A$22)&lt;=($D$9),ROW()-ROW($A$22),"")</f>
        <v/>
      </c>
      <c r="B126" s="14" t="str">
        <f aca="false">IF(A126="","",$D$6)</f>
        <v/>
      </c>
      <c r="C126" s="14" t="str">
        <f aca="false">IF(A126="","",E125*$D$7)</f>
        <v/>
      </c>
      <c r="D126" s="14" t="str">
        <f aca="false">IF(A126="","",D125+C126)</f>
        <v/>
      </c>
      <c r="E126" s="14" t="str">
        <f aca="false">IF(A126="","",(E125+B126)*(1+$D$8)+C126*$D$10)</f>
        <v/>
      </c>
    </row>
    <row r="127" customFormat="false" ht="15" hidden="false" customHeight="false" outlineLevel="0" collapsed="false">
      <c r="A127" s="13" t="str">
        <f aca="false">IF(ROW()-ROW($A$22)&lt;=($D$9),ROW()-ROW($A$22),"")</f>
        <v/>
      </c>
      <c r="B127" s="14" t="str">
        <f aca="false">IF(A127="","",$D$6)</f>
        <v/>
      </c>
      <c r="C127" s="14" t="str">
        <f aca="false">IF(A127="","",E126*$D$7)</f>
        <v/>
      </c>
      <c r="D127" s="14" t="str">
        <f aca="false">IF(A127="","",D126+C127)</f>
        <v/>
      </c>
      <c r="E127" s="14" t="str">
        <f aca="false">IF(A127="","",(E126+B127)*(1+$D$8)+C127*$D$10)</f>
        <v/>
      </c>
    </row>
    <row r="128" customFormat="false" ht="15" hidden="false" customHeight="false" outlineLevel="0" collapsed="false">
      <c r="A128" s="13" t="str">
        <f aca="false">IF(ROW()-ROW($A$22)&lt;=($D$9),ROW()-ROW($A$22),"")</f>
        <v/>
      </c>
      <c r="B128" s="14" t="str">
        <f aca="false">IF(A128="","",$D$6)</f>
        <v/>
      </c>
      <c r="C128" s="14" t="str">
        <f aca="false">IF(A128="","",E127*$D$7)</f>
        <v/>
      </c>
      <c r="D128" s="14" t="str">
        <f aca="false">IF(A128="","",D127+C128)</f>
        <v/>
      </c>
      <c r="E128" s="14" t="str">
        <f aca="false">IF(A128="","",(E127+B128)*(1+$D$8)+C128*$D$10)</f>
        <v/>
      </c>
    </row>
    <row r="129" customFormat="false" ht="15" hidden="false" customHeight="false" outlineLevel="0" collapsed="false">
      <c r="A129" s="13" t="str">
        <f aca="false">IF(ROW()-ROW($A$22)&lt;=($D$9),ROW()-ROW($A$22),"")</f>
        <v/>
      </c>
      <c r="B129" s="14" t="str">
        <f aca="false">IF(A129="","",$D$6)</f>
        <v/>
      </c>
      <c r="C129" s="14" t="str">
        <f aca="false">IF(A129="","",E128*$D$7)</f>
        <v/>
      </c>
      <c r="D129" s="14" t="str">
        <f aca="false">IF(A129="","",D128+C129)</f>
        <v/>
      </c>
      <c r="E129" s="14" t="str">
        <f aca="false">IF(A129="","",(E128+B129)*(1+$D$8)+C129*$D$10)</f>
        <v/>
      </c>
    </row>
    <row r="130" customFormat="false" ht="15" hidden="false" customHeight="false" outlineLevel="0" collapsed="false">
      <c r="A130" s="13" t="str">
        <f aca="false">IF(ROW()-ROW($A$22)&lt;=($D$9),ROW()-ROW($A$22),"")</f>
        <v/>
      </c>
      <c r="B130" s="14" t="str">
        <f aca="false">IF(A130="","",$D$6)</f>
        <v/>
      </c>
      <c r="C130" s="14" t="str">
        <f aca="false">IF(A130="","",E129*$D$7)</f>
        <v/>
      </c>
      <c r="D130" s="14" t="str">
        <f aca="false">IF(A130="","",D129+C130)</f>
        <v/>
      </c>
      <c r="E130" s="14" t="str">
        <f aca="false">IF(A130="","",(E129+B130)*(1+$D$8)+C130*$D$10)</f>
        <v/>
      </c>
    </row>
    <row r="131" customFormat="false" ht="15" hidden="false" customHeight="false" outlineLevel="0" collapsed="false">
      <c r="A131" s="13" t="str">
        <f aca="false">IF(ROW()-ROW($A$22)&lt;=($D$9),ROW()-ROW($A$22),"")</f>
        <v/>
      </c>
      <c r="B131" s="14" t="str">
        <f aca="false">IF(A131="","",$D$6)</f>
        <v/>
      </c>
      <c r="C131" s="14" t="str">
        <f aca="false">IF(A131="","",E130*$D$7)</f>
        <v/>
      </c>
      <c r="D131" s="14" t="str">
        <f aca="false">IF(A131="","",D130+C131)</f>
        <v/>
      </c>
      <c r="E131" s="14" t="str">
        <f aca="false">IF(A131="","",(E130+B131)*(1+$D$8)+C131*$D$10)</f>
        <v/>
      </c>
    </row>
    <row r="132" customFormat="false" ht="15" hidden="false" customHeight="false" outlineLevel="0" collapsed="false">
      <c r="A132" s="13" t="str">
        <f aca="false">IF(ROW()-ROW($A$22)&lt;=($D$9),ROW()-ROW($A$22),"")</f>
        <v/>
      </c>
      <c r="B132" s="14" t="str">
        <f aca="false">IF(A132="","",$D$6)</f>
        <v/>
      </c>
      <c r="C132" s="14" t="str">
        <f aca="false">IF(A132="","",E131*$D$7)</f>
        <v/>
      </c>
      <c r="D132" s="14" t="str">
        <f aca="false">IF(A132="","",D131+C132)</f>
        <v/>
      </c>
      <c r="E132" s="14" t="str">
        <f aca="false">IF(A132="","",(E131+B132)*(1+$D$8)+C132*$D$10)</f>
        <v/>
      </c>
    </row>
    <row r="133" customFormat="false" ht="15" hidden="false" customHeight="false" outlineLevel="0" collapsed="false">
      <c r="A133" s="13" t="str">
        <f aca="false">IF(ROW()-ROW($A$22)&lt;=($D$9),ROW()-ROW($A$22),"")</f>
        <v/>
      </c>
      <c r="B133" s="14" t="str">
        <f aca="false">IF(A133="","",$D$6)</f>
        <v/>
      </c>
      <c r="C133" s="14" t="str">
        <f aca="false">IF(A133="","",E132*$D$7)</f>
        <v/>
      </c>
      <c r="D133" s="14" t="str">
        <f aca="false">IF(A133="","",D132+C133)</f>
        <v/>
      </c>
      <c r="E133" s="14" t="str">
        <f aca="false">IF(A133="","",(E132+B133)*(1+$D$8)+C133*$D$10)</f>
        <v/>
      </c>
    </row>
    <row r="134" customFormat="false" ht="15" hidden="false" customHeight="false" outlineLevel="0" collapsed="false">
      <c r="A134" s="13" t="str">
        <f aca="false">IF(ROW()-ROW($A$22)&lt;=($D$9),ROW()-ROW($A$22),"")</f>
        <v/>
      </c>
      <c r="B134" s="14" t="str">
        <f aca="false">IF(A134="","",$D$6)</f>
        <v/>
      </c>
      <c r="C134" s="14" t="str">
        <f aca="false">IF(A134="","",E133*$D$7)</f>
        <v/>
      </c>
      <c r="D134" s="14" t="str">
        <f aca="false">IF(A134="","",D133+C134)</f>
        <v/>
      </c>
      <c r="E134" s="14" t="str">
        <f aca="false">IF(A134="","",(E133+B134)*(1+$D$8)+C134*$D$10)</f>
        <v/>
      </c>
    </row>
    <row r="135" customFormat="false" ht="15" hidden="false" customHeight="false" outlineLevel="0" collapsed="false">
      <c r="A135" s="13" t="str">
        <f aca="false">IF(ROW()-ROW($A$22)&lt;=($D$9),ROW()-ROW($A$22),"")</f>
        <v/>
      </c>
      <c r="B135" s="14" t="str">
        <f aca="false">IF(A135="","",$D$6)</f>
        <v/>
      </c>
      <c r="C135" s="14" t="str">
        <f aca="false">IF(A135="","",E134*$D$7)</f>
        <v/>
      </c>
      <c r="D135" s="14" t="str">
        <f aca="false">IF(A135="","",D134+C135)</f>
        <v/>
      </c>
      <c r="E135" s="14" t="str">
        <f aca="false">IF(A135="","",(E134+B135)*(1+$D$8)+C135*$D$10)</f>
        <v/>
      </c>
    </row>
    <row r="136" customFormat="false" ht="15" hidden="false" customHeight="false" outlineLevel="0" collapsed="false">
      <c r="A136" s="13" t="str">
        <f aca="false">IF(ROW()-ROW($A$22)&lt;=($D$9),ROW()-ROW($A$22),"")</f>
        <v/>
      </c>
      <c r="B136" s="14" t="str">
        <f aca="false">IF(A136="","",$D$6)</f>
        <v/>
      </c>
      <c r="C136" s="14" t="str">
        <f aca="false">IF(A136="","",E135*$D$7)</f>
        <v/>
      </c>
      <c r="D136" s="14" t="str">
        <f aca="false">IF(A136="","",D135+C136)</f>
        <v/>
      </c>
      <c r="E136" s="14" t="str">
        <f aca="false">IF(A136="","",(E135+B136)*(1+$D$8)+C136*$D$10)</f>
        <v/>
      </c>
    </row>
    <row r="137" customFormat="false" ht="15" hidden="false" customHeight="false" outlineLevel="0" collapsed="false">
      <c r="A137" s="13" t="str">
        <f aca="false">IF(ROW()-ROW($A$22)&lt;=($D$9),ROW()-ROW($A$22),"")</f>
        <v/>
      </c>
      <c r="B137" s="14" t="str">
        <f aca="false">IF(A137="","",$D$6)</f>
        <v/>
      </c>
      <c r="C137" s="14" t="str">
        <f aca="false">IF(A137="","",E136*$D$7)</f>
        <v/>
      </c>
      <c r="D137" s="14" t="str">
        <f aca="false">IF(A137="","",D136+C137)</f>
        <v/>
      </c>
      <c r="E137" s="14" t="str">
        <f aca="false">IF(A137="","",(E136+B137)*(1+$D$8)+C137*$D$10)</f>
        <v/>
      </c>
    </row>
    <row r="138" customFormat="false" ht="15" hidden="false" customHeight="false" outlineLevel="0" collapsed="false">
      <c r="A138" s="13" t="str">
        <f aca="false">IF(ROW()-ROW($A$22)&lt;=($D$9),ROW()-ROW($A$22),"")</f>
        <v/>
      </c>
      <c r="B138" s="14" t="str">
        <f aca="false">IF(A138="","",$D$6)</f>
        <v/>
      </c>
      <c r="C138" s="14" t="str">
        <f aca="false">IF(A138="","",E137*$D$7)</f>
        <v/>
      </c>
      <c r="D138" s="14" t="str">
        <f aca="false">IF(A138="","",D137+C138)</f>
        <v/>
      </c>
      <c r="E138" s="14" t="str">
        <f aca="false">IF(A138="","",(E137+B138)*(1+$D$8)+C138*$D$10)</f>
        <v/>
      </c>
    </row>
    <row r="139" customFormat="false" ht="15" hidden="false" customHeight="false" outlineLevel="0" collapsed="false">
      <c r="A139" s="13" t="str">
        <f aca="false">IF(ROW()-ROW($A$22)&lt;=($D$9),ROW()-ROW($A$22),"")</f>
        <v/>
      </c>
      <c r="B139" s="14" t="str">
        <f aca="false">IF(A139="","",$D$6)</f>
        <v/>
      </c>
      <c r="C139" s="14" t="str">
        <f aca="false">IF(A139="","",E138*$D$7)</f>
        <v/>
      </c>
      <c r="D139" s="14" t="str">
        <f aca="false">IF(A139="","",D138+C139)</f>
        <v/>
      </c>
      <c r="E139" s="14" t="str">
        <f aca="false">IF(A139="","",(E138+B139)*(1+$D$8)+C139*$D$10)</f>
        <v/>
      </c>
    </row>
    <row r="140" customFormat="false" ht="15" hidden="false" customHeight="false" outlineLevel="0" collapsed="false">
      <c r="A140" s="13" t="str">
        <f aca="false">IF(ROW()-ROW($A$22)&lt;=($D$9),ROW()-ROW($A$22),"")</f>
        <v/>
      </c>
      <c r="B140" s="14" t="str">
        <f aca="false">IF(A140="","",$D$6)</f>
        <v/>
      </c>
      <c r="C140" s="14" t="str">
        <f aca="false">IF(A140="","",E139*$D$7)</f>
        <v/>
      </c>
      <c r="D140" s="14" t="str">
        <f aca="false">IF(A140="","",D139+C140)</f>
        <v/>
      </c>
      <c r="E140" s="14" t="str">
        <f aca="false">IF(A140="","",(E139+B140)*(1+$D$8)+C140*$D$10)</f>
        <v/>
      </c>
    </row>
    <row r="141" customFormat="false" ht="15" hidden="false" customHeight="false" outlineLevel="0" collapsed="false">
      <c r="A141" s="13" t="str">
        <f aca="false">IF(ROW()-ROW($A$22)&lt;=($D$9),ROW()-ROW($A$22),"")</f>
        <v/>
      </c>
      <c r="B141" s="14" t="str">
        <f aca="false">IF(A141="","",$D$6)</f>
        <v/>
      </c>
      <c r="C141" s="14" t="str">
        <f aca="false">IF(A141="","",E140*$D$7)</f>
        <v/>
      </c>
      <c r="D141" s="14" t="str">
        <f aca="false">IF(A141="","",D140+C141)</f>
        <v/>
      </c>
      <c r="E141" s="14" t="str">
        <f aca="false">IF(A141="","",(E140+B141)*(1+$D$8)+C141*$D$10)</f>
        <v/>
      </c>
    </row>
    <row r="142" customFormat="false" ht="15" hidden="false" customHeight="false" outlineLevel="0" collapsed="false">
      <c r="A142" s="13" t="str">
        <f aca="false">IF(ROW()-ROW($A$22)&lt;=($D$9),ROW()-ROW($A$22),"")</f>
        <v/>
      </c>
      <c r="B142" s="14" t="str">
        <f aca="false">IF(A142="","",$D$6)</f>
        <v/>
      </c>
      <c r="C142" s="14" t="str">
        <f aca="false">IF(A142="","",E141*$D$7)</f>
        <v/>
      </c>
      <c r="D142" s="14" t="str">
        <f aca="false">IF(A142="","",D141+C142)</f>
        <v/>
      </c>
      <c r="E142" s="14" t="str">
        <f aca="false">IF(A142="","",(E141+B142)*(1+$D$8)+C142*$D$10)</f>
        <v/>
      </c>
    </row>
    <row r="143" customFormat="false" ht="15" hidden="false" customHeight="false" outlineLevel="0" collapsed="false">
      <c r="A143" s="13" t="str">
        <f aca="false">IF(ROW()-ROW($A$22)&lt;=($D$9),ROW()-ROW($A$22),"")</f>
        <v/>
      </c>
      <c r="B143" s="14" t="str">
        <f aca="false">IF(A143="","",$D$6)</f>
        <v/>
      </c>
      <c r="C143" s="14" t="str">
        <f aca="false">IF(A143="","",E142*$D$7)</f>
        <v/>
      </c>
      <c r="D143" s="14" t="str">
        <f aca="false">IF(A143="","",D142+C143)</f>
        <v/>
      </c>
      <c r="E143" s="14" t="str">
        <f aca="false">IF(A143="","",(E142+B143)*(1+$D$8)+C143*$D$10)</f>
        <v/>
      </c>
    </row>
    <row r="144" customFormat="false" ht="15" hidden="false" customHeight="false" outlineLevel="0" collapsed="false">
      <c r="A144" s="13" t="str">
        <f aca="false">IF(ROW()-ROW($A$22)&lt;=($D$9),ROW()-ROW($A$22),"")</f>
        <v/>
      </c>
      <c r="B144" s="14" t="str">
        <f aca="false">IF(A144="","",$D$6)</f>
        <v/>
      </c>
      <c r="C144" s="14" t="str">
        <f aca="false">IF(A144="","",E143*$D$7)</f>
        <v/>
      </c>
      <c r="D144" s="14" t="str">
        <f aca="false">IF(A144="","",D143+C144)</f>
        <v/>
      </c>
      <c r="E144" s="14" t="str">
        <f aca="false">IF(A144="","",(E143+B144)*(1+$D$8)+C144*$D$10)</f>
        <v/>
      </c>
    </row>
    <row r="145" customFormat="false" ht="15" hidden="false" customHeight="false" outlineLevel="0" collapsed="false">
      <c r="A145" s="13" t="str">
        <f aca="false">IF(ROW()-ROW($A$22)&lt;=($D$9),ROW()-ROW($A$22),"")</f>
        <v/>
      </c>
      <c r="B145" s="14" t="str">
        <f aca="false">IF(A145="","",$D$6)</f>
        <v/>
      </c>
      <c r="C145" s="14" t="str">
        <f aca="false">IF(A145="","",E144*$D$7)</f>
        <v/>
      </c>
      <c r="D145" s="14" t="str">
        <f aca="false">IF(A145="","",D144+C145)</f>
        <v/>
      </c>
      <c r="E145" s="14" t="str">
        <f aca="false">IF(A145="","",(E144+B145)*(1+$D$8)+C145*$D$10)</f>
        <v/>
      </c>
    </row>
    <row r="146" customFormat="false" ht="15" hidden="false" customHeight="false" outlineLevel="0" collapsed="false">
      <c r="A146" s="13" t="str">
        <f aca="false">IF(ROW()-ROW($A$22)&lt;=($D$9),ROW()-ROW($A$22),"")</f>
        <v/>
      </c>
      <c r="B146" s="14" t="str">
        <f aca="false">IF(A146="","",$D$6)</f>
        <v/>
      </c>
      <c r="C146" s="14" t="str">
        <f aca="false">IF(A146="","",E145*$D$7)</f>
        <v/>
      </c>
      <c r="D146" s="14" t="str">
        <f aca="false">IF(A146="","",D145+C146)</f>
        <v/>
      </c>
      <c r="E146" s="14" t="str">
        <f aca="false">IF(A146="","",(E145+B146)*(1+$D$8)+C146*$D$10)</f>
        <v/>
      </c>
    </row>
    <row r="147" customFormat="false" ht="15" hidden="false" customHeight="false" outlineLevel="0" collapsed="false">
      <c r="A147" s="13" t="str">
        <f aca="false">IF(ROW()-ROW($A$22)&lt;=($D$9),ROW()-ROW($A$22),"")</f>
        <v/>
      </c>
      <c r="B147" s="14" t="str">
        <f aca="false">IF(A147="","",$D$6)</f>
        <v/>
      </c>
      <c r="C147" s="14" t="str">
        <f aca="false">IF(A147="","",E146*$D$7)</f>
        <v/>
      </c>
      <c r="D147" s="14" t="str">
        <f aca="false">IF(A147="","",D146+C147)</f>
        <v/>
      </c>
      <c r="E147" s="14" t="str">
        <f aca="false">IF(A147="","",(E146+B147)*(1+$D$8)+C147*$D$10)</f>
        <v/>
      </c>
    </row>
    <row r="148" customFormat="false" ht="15" hidden="false" customHeight="false" outlineLevel="0" collapsed="false">
      <c r="A148" s="13" t="str">
        <f aca="false">IF(ROW()-ROW($A$22)&lt;=($D$9),ROW()-ROW($A$22),"")</f>
        <v/>
      </c>
      <c r="B148" s="14" t="str">
        <f aca="false">IF(A148="","",$D$6)</f>
        <v/>
      </c>
      <c r="C148" s="14" t="str">
        <f aca="false">IF(A148="","",E147*$D$7)</f>
        <v/>
      </c>
      <c r="D148" s="14" t="str">
        <f aca="false">IF(A148="","",D147+C148)</f>
        <v/>
      </c>
      <c r="E148" s="14" t="str">
        <f aca="false">IF(A148="","",(E147+B148)*(1+$D$8)+C148*$D$10)</f>
        <v/>
      </c>
    </row>
    <row r="149" customFormat="false" ht="15" hidden="false" customHeight="false" outlineLevel="0" collapsed="false">
      <c r="A149" s="13" t="str">
        <f aca="false">IF(ROW()-ROW($A$22)&lt;=($D$9),ROW()-ROW($A$22),"")</f>
        <v/>
      </c>
      <c r="B149" s="14" t="str">
        <f aca="false">IF(A149="","",$D$6)</f>
        <v/>
      </c>
      <c r="C149" s="14" t="str">
        <f aca="false">IF(A149="","",E148*$D$7)</f>
        <v/>
      </c>
      <c r="D149" s="14" t="str">
        <f aca="false">IF(A149="","",D148+C149)</f>
        <v/>
      </c>
      <c r="E149" s="14" t="str">
        <f aca="false">IF(A149="","",(E148+B149)*(1+$D$8)+C149*$D$10)</f>
        <v/>
      </c>
    </row>
    <row r="150" customFormat="false" ht="15" hidden="false" customHeight="false" outlineLevel="0" collapsed="false">
      <c r="A150" s="13" t="str">
        <f aca="false">IF(ROW()-ROW($A$22)&lt;=($D$9),ROW()-ROW($A$22),"")</f>
        <v/>
      </c>
      <c r="B150" s="14" t="str">
        <f aca="false">IF(A150="","",$D$6)</f>
        <v/>
      </c>
      <c r="C150" s="14" t="str">
        <f aca="false">IF(A150="","",E149*$D$7)</f>
        <v/>
      </c>
      <c r="D150" s="14" t="str">
        <f aca="false">IF(A150="","",D149+C150)</f>
        <v/>
      </c>
      <c r="E150" s="14" t="str">
        <f aca="false">IF(A150="","",(E149+B150)*(1+$D$8)+C150*$D$10)</f>
        <v/>
      </c>
    </row>
    <row r="151" customFormat="false" ht="15" hidden="false" customHeight="false" outlineLevel="0" collapsed="false">
      <c r="A151" s="13" t="str">
        <f aca="false">IF(ROW()-ROW($A$22)&lt;=($D$9),ROW()-ROW($A$22),"")</f>
        <v/>
      </c>
      <c r="B151" s="14" t="str">
        <f aca="false">IF(A151="","",$D$6)</f>
        <v/>
      </c>
      <c r="C151" s="14" t="str">
        <f aca="false">IF(A151="","",E150*$D$7)</f>
        <v/>
      </c>
      <c r="D151" s="14" t="str">
        <f aca="false">IF(A151="","",D150+C151)</f>
        <v/>
      </c>
      <c r="E151" s="14" t="str">
        <f aca="false">IF(A151="","",(E150+B151)*(1+$D$8)+C151*$D$10)</f>
        <v/>
      </c>
    </row>
    <row r="152" customFormat="false" ht="15" hidden="false" customHeight="false" outlineLevel="0" collapsed="false">
      <c r="A152" s="13" t="str">
        <f aca="false">IF(ROW()-ROW($A$22)&lt;=($D$9),ROW()-ROW($A$22),"")</f>
        <v/>
      </c>
      <c r="B152" s="14" t="str">
        <f aca="false">IF(A152="","",$D$6)</f>
        <v/>
      </c>
      <c r="C152" s="14" t="str">
        <f aca="false">IF(A152="","",E151*$D$7)</f>
        <v/>
      </c>
      <c r="D152" s="14" t="str">
        <f aca="false">IF(A152="","",D151+C152)</f>
        <v/>
      </c>
      <c r="E152" s="14" t="str">
        <f aca="false">IF(A152="","",(E151+B152)*(1+$D$8)+C152*$D$10)</f>
        <v/>
      </c>
    </row>
    <row r="153" customFormat="false" ht="15" hidden="false" customHeight="false" outlineLevel="0" collapsed="false">
      <c r="A153" s="13" t="str">
        <f aca="false">IF(ROW()-ROW($A$22)&lt;=($D$9),ROW()-ROW($A$22),"")</f>
        <v/>
      </c>
      <c r="B153" s="14" t="str">
        <f aca="false">IF(A153="","",$D$6)</f>
        <v/>
      </c>
      <c r="C153" s="14" t="str">
        <f aca="false">IF(A153="","",E152*$D$7)</f>
        <v/>
      </c>
      <c r="D153" s="14" t="str">
        <f aca="false">IF(A153="","",D152+C153)</f>
        <v/>
      </c>
      <c r="E153" s="14" t="str">
        <f aca="false">IF(A153="","",(E152+B153)*(1+$D$8)+C153*$D$10)</f>
        <v/>
      </c>
    </row>
    <row r="154" customFormat="false" ht="15" hidden="false" customHeight="false" outlineLevel="0" collapsed="false">
      <c r="A154" s="13" t="str">
        <f aca="false">IF(ROW()-ROW($A$22)&lt;=($D$9),ROW()-ROW($A$22),"")</f>
        <v/>
      </c>
      <c r="B154" s="14" t="str">
        <f aca="false">IF(A154="","",$D$6)</f>
        <v/>
      </c>
      <c r="C154" s="14" t="str">
        <f aca="false">IF(A154="","",E153*$D$7)</f>
        <v/>
      </c>
      <c r="D154" s="14" t="str">
        <f aca="false">IF(A154="","",D153+C154)</f>
        <v/>
      </c>
      <c r="E154" s="14" t="str">
        <f aca="false">IF(A154="","",(E153+B154)*(1+$D$8)+C154*$D$10)</f>
        <v/>
      </c>
    </row>
    <row r="155" customFormat="false" ht="15" hidden="false" customHeight="false" outlineLevel="0" collapsed="false">
      <c r="A155" s="13" t="str">
        <f aca="false">IF(ROW()-ROW($A$22)&lt;=($D$9),ROW()-ROW($A$22),"")</f>
        <v/>
      </c>
      <c r="B155" s="14" t="str">
        <f aca="false">IF(A155="","",$D$6)</f>
        <v/>
      </c>
      <c r="C155" s="14" t="str">
        <f aca="false">IF(A155="","",E154*$D$7)</f>
        <v/>
      </c>
      <c r="D155" s="14" t="str">
        <f aca="false">IF(A155="","",D154+C155)</f>
        <v/>
      </c>
      <c r="E155" s="14" t="str">
        <f aca="false">IF(A155="","",(E154+B155)*(1+$D$8)+C155*$D$10)</f>
        <v/>
      </c>
    </row>
    <row r="156" customFormat="false" ht="15" hidden="false" customHeight="false" outlineLevel="0" collapsed="false">
      <c r="A156" s="13" t="str">
        <f aca="false">IF(ROW()-ROW($A$22)&lt;=($D$9),ROW()-ROW($A$22),"")</f>
        <v/>
      </c>
      <c r="B156" s="14" t="str">
        <f aca="false">IF(A156="","",$D$6)</f>
        <v/>
      </c>
      <c r="C156" s="14" t="str">
        <f aca="false">IF(A156="","",E155*$D$7)</f>
        <v/>
      </c>
      <c r="D156" s="14" t="str">
        <f aca="false">IF(A156="","",D155+C156)</f>
        <v/>
      </c>
      <c r="E156" s="14" t="str">
        <f aca="false">IF(A156="","",(E155+B156)*(1+$D$8)+C156*$D$10)</f>
        <v/>
      </c>
    </row>
    <row r="157" customFormat="false" ht="15" hidden="false" customHeight="false" outlineLevel="0" collapsed="false">
      <c r="A157" s="13" t="str">
        <f aca="false">IF(ROW()-ROW($A$22)&lt;=($D$9),ROW()-ROW($A$22),"")</f>
        <v/>
      </c>
      <c r="B157" s="14" t="str">
        <f aca="false">IF(A157="","",$D$6)</f>
        <v/>
      </c>
      <c r="C157" s="14" t="str">
        <f aca="false">IF(A157="","",E156*$D$7)</f>
        <v/>
      </c>
      <c r="D157" s="14" t="str">
        <f aca="false">IF(A157="","",D156+C157)</f>
        <v/>
      </c>
      <c r="E157" s="14" t="str">
        <f aca="false">IF(A157="","",(E156+B157)*(1+$D$8)+C157*$D$10)</f>
        <v/>
      </c>
    </row>
    <row r="158" customFormat="false" ht="15" hidden="false" customHeight="false" outlineLevel="0" collapsed="false">
      <c r="A158" s="13" t="str">
        <f aca="false">IF(ROW()-ROW($A$22)&lt;=($D$9),ROW()-ROW($A$22),"")</f>
        <v/>
      </c>
      <c r="B158" s="14" t="str">
        <f aca="false">IF(A158="","",$D$6)</f>
        <v/>
      </c>
      <c r="C158" s="14" t="str">
        <f aca="false">IF(A158="","",E157*$D$7)</f>
        <v/>
      </c>
      <c r="D158" s="14" t="str">
        <f aca="false">IF(A158="","",D157+C158)</f>
        <v/>
      </c>
      <c r="E158" s="14" t="str">
        <f aca="false">IF(A158="","",(E157+B158)*(1+$D$8)+C158*$D$10)</f>
        <v/>
      </c>
    </row>
    <row r="159" customFormat="false" ht="15" hidden="false" customHeight="false" outlineLevel="0" collapsed="false">
      <c r="A159" s="13" t="str">
        <f aca="false">IF(ROW()-ROW($A$22)&lt;=($D$9),ROW()-ROW($A$22),"")</f>
        <v/>
      </c>
      <c r="B159" s="14" t="str">
        <f aca="false">IF(A159="","",$D$6)</f>
        <v/>
      </c>
      <c r="C159" s="14" t="str">
        <f aca="false">IF(A159="","",E158*$D$7)</f>
        <v/>
      </c>
      <c r="D159" s="14" t="str">
        <f aca="false">IF(A159="","",D158+C159)</f>
        <v/>
      </c>
      <c r="E159" s="14" t="str">
        <f aca="false">IF(A159="","",(E158+B159)*(1+$D$8)+C159*$D$10)</f>
        <v/>
      </c>
    </row>
    <row r="160" customFormat="false" ht="15" hidden="false" customHeight="false" outlineLevel="0" collapsed="false">
      <c r="A160" s="13" t="str">
        <f aca="false">IF(ROW()-ROW($A$22)&lt;=($D$9),ROW()-ROW($A$22),"")</f>
        <v/>
      </c>
      <c r="B160" s="14" t="str">
        <f aca="false">IF(A160="","",$D$6)</f>
        <v/>
      </c>
      <c r="C160" s="14" t="str">
        <f aca="false">IF(A160="","",E159*$D$7)</f>
        <v/>
      </c>
      <c r="D160" s="14" t="str">
        <f aca="false">IF(A160="","",D159+C160)</f>
        <v/>
      </c>
      <c r="E160" s="14" t="str">
        <f aca="false">IF(A160="","",(E159+B160)*(1+$D$8)+C160*$D$10)</f>
        <v/>
      </c>
    </row>
    <row r="161" customFormat="false" ht="15" hidden="false" customHeight="false" outlineLevel="0" collapsed="false">
      <c r="A161" s="13" t="str">
        <f aca="false">IF(ROW()-ROW($A$22)&lt;=($D$9),ROW()-ROW($A$22),"")</f>
        <v/>
      </c>
      <c r="B161" s="14" t="str">
        <f aca="false">IF(A161="","",$D$6)</f>
        <v/>
      </c>
      <c r="C161" s="14" t="str">
        <f aca="false">IF(A161="","",E160*$D$7)</f>
        <v/>
      </c>
      <c r="D161" s="14" t="str">
        <f aca="false">IF(A161="","",D160+C161)</f>
        <v/>
      </c>
      <c r="E161" s="14" t="str">
        <f aca="false">IF(A161="","",(E160+B161)*(1+$D$8)+C161*$D$10)</f>
        <v/>
      </c>
    </row>
    <row r="162" customFormat="false" ht="15" hidden="false" customHeight="false" outlineLevel="0" collapsed="false">
      <c r="A162" s="13" t="str">
        <f aca="false">IF(ROW()-ROW($A$22)&lt;=($D$9),ROW()-ROW($A$22),"")</f>
        <v/>
      </c>
      <c r="B162" s="14" t="str">
        <f aca="false">IF(A162="","",$D$6)</f>
        <v/>
      </c>
      <c r="C162" s="14" t="str">
        <f aca="false">IF(A162="","",E161*$D$7)</f>
        <v/>
      </c>
      <c r="D162" s="14" t="str">
        <f aca="false">IF(A162="","",D161+C162)</f>
        <v/>
      </c>
      <c r="E162" s="14" t="str">
        <f aca="false">IF(A162="","",(E161+B162)*(1+$D$8)+C162*$D$10)</f>
        <v/>
      </c>
    </row>
    <row r="163" customFormat="false" ht="15" hidden="false" customHeight="false" outlineLevel="0" collapsed="false">
      <c r="A163" s="13" t="str">
        <f aca="false">IF(ROW()-ROW($A$22)&lt;=($D$9),ROW()-ROW($A$22),"")</f>
        <v/>
      </c>
      <c r="B163" s="14" t="str">
        <f aca="false">IF(A163="","",$D$6)</f>
        <v/>
      </c>
      <c r="C163" s="14" t="str">
        <f aca="false">IF(A163="","",E162*$D$7)</f>
        <v/>
      </c>
      <c r="D163" s="14" t="str">
        <f aca="false">IF(A163="","",D162+C163)</f>
        <v/>
      </c>
      <c r="E163" s="14" t="str">
        <f aca="false">IF(A163="","",(E162+B163)*(1+$D$8)+C163*$D$10)</f>
        <v/>
      </c>
    </row>
    <row r="164" customFormat="false" ht="15" hidden="false" customHeight="false" outlineLevel="0" collapsed="false">
      <c r="A164" s="13" t="str">
        <f aca="false">IF(ROW()-ROW($A$22)&lt;=($D$9),ROW()-ROW($A$22),"")</f>
        <v/>
      </c>
      <c r="B164" s="14" t="str">
        <f aca="false">IF(A164="","",$D$6)</f>
        <v/>
      </c>
      <c r="C164" s="14" t="str">
        <f aca="false">IF(A164="","",E163*$D$7)</f>
        <v/>
      </c>
      <c r="D164" s="14" t="str">
        <f aca="false">IF(A164="","",D163+C164)</f>
        <v/>
      </c>
      <c r="E164" s="14" t="str">
        <f aca="false">IF(A164="","",(E163+B164)*(1+$D$8)+C164*$D$10)</f>
        <v/>
      </c>
    </row>
    <row r="165" customFormat="false" ht="15" hidden="false" customHeight="false" outlineLevel="0" collapsed="false">
      <c r="A165" s="13" t="str">
        <f aca="false">IF(ROW()-ROW($A$22)&lt;=($D$9),ROW()-ROW($A$22),"")</f>
        <v/>
      </c>
      <c r="B165" s="14" t="str">
        <f aca="false">IF(A165="","",$D$6)</f>
        <v/>
      </c>
      <c r="C165" s="14" t="str">
        <f aca="false">IF(A165="","",E164*$D$7)</f>
        <v/>
      </c>
      <c r="D165" s="14" t="str">
        <f aca="false">IF(A165="","",D164+C165)</f>
        <v/>
      </c>
      <c r="E165" s="14" t="str">
        <f aca="false">IF(A165="","",(E164+B165)*(1+$D$8)+C165*$D$10)</f>
        <v/>
      </c>
    </row>
    <row r="166" customFormat="false" ht="15" hidden="false" customHeight="false" outlineLevel="0" collapsed="false">
      <c r="A166" s="13" t="str">
        <f aca="false">IF(ROW()-ROW($A$22)&lt;=($D$9),ROW()-ROW($A$22),"")</f>
        <v/>
      </c>
      <c r="B166" s="14" t="str">
        <f aca="false">IF(A166="","",$D$6)</f>
        <v/>
      </c>
      <c r="C166" s="14" t="str">
        <f aca="false">IF(A166="","",E165*$D$7)</f>
        <v/>
      </c>
      <c r="D166" s="14" t="str">
        <f aca="false">IF(A166="","",D165+C166)</f>
        <v/>
      </c>
      <c r="E166" s="14" t="str">
        <f aca="false">IF(A166="","",(E165+B166)*(1+$D$8)+C166*$D$10)</f>
        <v/>
      </c>
    </row>
    <row r="167" customFormat="false" ht="15" hidden="false" customHeight="false" outlineLevel="0" collapsed="false">
      <c r="A167" s="13" t="str">
        <f aca="false">IF(ROW()-ROW($A$22)&lt;=($D$9),ROW()-ROW($A$22),"")</f>
        <v/>
      </c>
      <c r="B167" s="14" t="str">
        <f aca="false">IF(A167="","",$D$6)</f>
        <v/>
      </c>
      <c r="C167" s="14" t="str">
        <f aca="false">IF(A167="","",E166*$D$7)</f>
        <v/>
      </c>
      <c r="D167" s="14" t="str">
        <f aca="false">IF(A167="","",D166+C167)</f>
        <v/>
      </c>
      <c r="E167" s="14" t="str">
        <f aca="false">IF(A167="","",(E166+B167)*(1+$D$8)+C167*$D$10)</f>
        <v/>
      </c>
    </row>
    <row r="168" customFormat="false" ht="15" hidden="false" customHeight="false" outlineLevel="0" collapsed="false">
      <c r="A168" s="13" t="str">
        <f aca="false">IF(ROW()-ROW($A$22)&lt;=($D$9),ROW()-ROW($A$22),"")</f>
        <v/>
      </c>
      <c r="B168" s="14" t="str">
        <f aca="false">IF(A168="","",$D$6)</f>
        <v/>
      </c>
      <c r="C168" s="14" t="str">
        <f aca="false">IF(A168="","",E167*$D$7)</f>
        <v/>
      </c>
      <c r="D168" s="14" t="str">
        <f aca="false">IF(A168="","",D167+C168)</f>
        <v/>
      </c>
      <c r="E168" s="14" t="str">
        <f aca="false">IF(A168="","",(E167+B168)*(1+$D$8)+C168*$D$10)</f>
        <v/>
      </c>
    </row>
    <row r="169" customFormat="false" ht="15" hidden="false" customHeight="false" outlineLevel="0" collapsed="false">
      <c r="A169" s="13" t="str">
        <f aca="false">IF(ROW()-ROW($A$22)&lt;=($D$9),ROW()-ROW($A$22),"")</f>
        <v/>
      </c>
      <c r="B169" s="14" t="str">
        <f aca="false">IF(A169="","",$D$6)</f>
        <v/>
      </c>
      <c r="C169" s="14" t="str">
        <f aca="false">IF(A169="","",E168*$D$7)</f>
        <v/>
      </c>
      <c r="D169" s="14" t="str">
        <f aca="false">IF(A169="","",D168+C169)</f>
        <v/>
      </c>
      <c r="E169" s="14" t="str">
        <f aca="false">IF(A169="","",(E168+B169)*(1+$D$8)+C169*$D$10)</f>
        <v/>
      </c>
    </row>
    <row r="170" customFormat="false" ht="15" hidden="false" customHeight="false" outlineLevel="0" collapsed="false">
      <c r="A170" s="13" t="str">
        <f aca="false">IF(ROW()-ROW($A$22)&lt;=($D$9),ROW()-ROW($A$22),"")</f>
        <v/>
      </c>
      <c r="B170" s="14" t="str">
        <f aca="false">IF(A170="","",$D$6)</f>
        <v/>
      </c>
      <c r="C170" s="14" t="str">
        <f aca="false">IF(A170="","",E169*$D$7)</f>
        <v/>
      </c>
      <c r="D170" s="14" t="str">
        <f aca="false">IF(A170="","",D169+C170)</f>
        <v/>
      </c>
      <c r="E170" s="14" t="str">
        <f aca="false">IF(A170="","",(E169+B170)*(1+$D$8)+C170*$D$10)</f>
        <v/>
      </c>
    </row>
    <row r="171" customFormat="false" ht="15" hidden="false" customHeight="false" outlineLevel="0" collapsed="false">
      <c r="A171" s="13" t="str">
        <f aca="false">IF(ROW()-ROW($A$22)&lt;=($D$9),ROW()-ROW($A$22),"")</f>
        <v/>
      </c>
      <c r="B171" s="14" t="str">
        <f aca="false">IF(A171="","",$D$6)</f>
        <v/>
      </c>
      <c r="C171" s="14" t="str">
        <f aca="false">IF(A171="","",E170*$D$7)</f>
        <v/>
      </c>
      <c r="D171" s="14" t="str">
        <f aca="false">IF(A171="","",D170+C171)</f>
        <v/>
      </c>
      <c r="E171" s="14" t="str">
        <f aca="false">IF(A171="","",(E170+B171)*(1+$D$8)+C171*$D$10)</f>
        <v/>
      </c>
    </row>
    <row r="172" customFormat="false" ht="15" hidden="false" customHeight="false" outlineLevel="0" collapsed="false">
      <c r="A172" s="13" t="str">
        <f aca="false">IF(ROW()-ROW($A$22)&lt;=($D$9),ROW()-ROW($A$22),"")</f>
        <v/>
      </c>
      <c r="B172" s="14" t="str">
        <f aca="false">IF(A172="","",$D$6)</f>
        <v/>
      </c>
      <c r="C172" s="14" t="str">
        <f aca="false">IF(A172="","",E171*$D$7)</f>
        <v/>
      </c>
      <c r="D172" s="14" t="str">
        <f aca="false">IF(A172="","",D171+C172)</f>
        <v/>
      </c>
      <c r="E172" s="14" t="str">
        <f aca="false">IF(A172="","",(E171+B172)*(1+$D$8)+C172*$D$10)</f>
        <v/>
      </c>
    </row>
    <row r="173" customFormat="false" ht="15" hidden="false" customHeight="false" outlineLevel="0" collapsed="false">
      <c r="A173" s="13" t="str">
        <f aca="false">IF(ROW()-ROW($A$22)&lt;=($D$9),ROW()-ROW($A$22),"")</f>
        <v/>
      </c>
      <c r="B173" s="14" t="str">
        <f aca="false">IF(A173="","",$D$6)</f>
        <v/>
      </c>
      <c r="C173" s="14" t="str">
        <f aca="false">IF(A173="","",E172*$D$7)</f>
        <v/>
      </c>
      <c r="D173" s="14" t="str">
        <f aca="false">IF(A173="","",D172+C173)</f>
        <v/>
      </c>
      <c r="E173" s="14" t="str">
        <f aca="false">IF(A173="","",(E172+B173)*(1+$D$8)+C173*$D$10)</f>
        <v/>
      </c>
    </row>
    <row r="174" customFormat="false" ht="15" hidden="false" customHeight="false" outlineLevel="0" collapsed="false">
      <c r="A174" s="13" t="str">
        <f aca="false">IF(ROW()-ROW($A$22)&lt;=($D$9),ROW()-ROW($A$22),"")</f>
        <v/>
      </c>
      <c r="B174" s="14" t="str">
        <f aca="false">IF(A174="","",$D$6)</f>
        <v/>
      </c>
      <c r="C174" s="14" t="str">
        <f aca="false">IF(A174="","",E173*$D$7)</f>
        <v/>
      </c>
      <c r="D174" s="14" t="str">
        <f aca="false">IF(A174="","",D173+C174)</f>
        <v/>
      </c>
      <c r="E174" s="14" t="str">
        <f aca="false">IF(A174="","",(E173+B174)*(1+$D$8)+C174*$D$10)</f>
        <v/>
      </c>
    </row>
    <row r="175" customFormat="false" ht="15" hidden="false" customHeight="false" outlineLevel="0" collapsed="false">
      <c r="A175" s="13" t="str">
        <f aca="false">IF(ROW()-ROW($A$22)&lt;=($D$9),ROW()-ROW($A$22),"")</f>
        <v/>
      </c>
      <c r="B175" s="14" t="str">
        <f aca="false">IF(A175="","",$D$6)</f>
        <v/>
      </c>
      <c r="C175" s="14" t="str">
        <f aca="false">IF(A175="","",E174*$D$7)</f>
        <v/>
      </c>
      <c r="D175" s="14" t="str">
        <f aca="false">IF(A175="","",D174+C175)</f>
        <v/>
      </c>
      <c r="E175" s="14" t="str">
        <f aca="false">IF(A175="","",(E174+B175)*(1+$D$8)+C175*$D$10)</f>
        <v/>
      </c>
    </row>
    <row r="176" customFormat="false" ht="15" hidden="false" customHeight="false" outlineLevel="0" collapsed="false">
      <c r="A176" s="13" t="str">
        <f aca="false">IF(ROW()-ROW($A$22)&lt;=($D$9),ROW()-ROW($A$22),"")</f>
        <v/>
      </c>
      <c r="B176" s="14" t="str">
        <f aca="false">IF(A176="","",$D$6)</f>
        <v/>
      </c>
      <c r="C176" s="14" t="str">
        <f aca="false">IF(A176="","",E175*$D$7)</f>
        <v/>
      </c>
      <c r="D176" s="14" t="str">
        <f aca="false">IF(A176="","",D175+C176)</f>
        <v/>
      </c>
      <c r="E176" s="14" t="str">
        <f aca="false">IF(A176="","",(E175+B176)*(1+$D$8)+C176*$D$10)</f>
        <v/>
      </c>
    </row>
    <row r="177" customFormat="false" ht="15" hidden="false" customHeight="false" outlineLevel="0" collapsed="false">
      <c r="A177" s="13" t="str">
        <f aca="false">IF(ROW()-ROW($A$22)&lt;=($D$9),ROW()-ROW($A$22),"")</f>
        <v/>
      </c>
      <c r="B177" s="14" t="str">
        <f aca="false">IF(A177="","",$D$6)</f>
        <v/>
      </c>
      <c r="C177" s="14" t="str">
        <f aca="false">IF(A177="","",E176*$D$7)</f>
        <v/>
      </c>
      <c r="D177" s="14" t="str">
        <f aca="false">IF(A177="","",D176+C177)</f>
        <v/>
      </c>
      <c r="E177" s="14" t="str">
        <f aca="false">IF(A177="","",(E176+B177)*(1+$D$8)+C177*$D$10)</f>
        <v/>
      </c>
    </row>
    <row r="178" customFormat="false" ht="15" hidden="false" customHeight="false" outlineLevel="0" collapsed="false">
      <c r="A178" s="13" t="str">
        <f aca="false">IF(ROW()-ROW($A$22)&lt;=($D$9),ROW()-ROW($A$22),"")</f>
        <v/>
      </c>
      <c r="B178" s="14" t="str">
        <f aca="false">IF(A178="","",$D$6)</f>
        <v/>
      </c>
      <c r="C178" s="14" t="str">
        <f aca="false">IF(A178="","",E177*$D$7)</f>
        <v/>
      </c>
      <c r="D178" s="14" t="str">
        <f aca="false">IF(A178="","",D177+C178)</f>
        <v/>
      </c>
      <c r="E178" s="14" t="str">
        <f aca="false">IF(A178="","",(E177+B178)*(1+$D$8)+C178*$D$10)</f>
        <v/>
      </c>
    </row>
    <row r="179" customFormat="false" ht="15" hidden="false" customHeight="false" outlineLevel="0" collapsed="false">
      <c r="A179" s="13" t="str">
        <f aca="false">IF(ROW()-ROW($A$22)&lt;=($D$9),ROW()-ROW($A$22),"")</f>
        <v/>
      </c>
      <c r="B179" s="14" t="str">
        <f aca="false">IF(A179="","",$D$6)</f>
        <v/>
      </c>
      <c r="C179" s="14" t="str">
        <f aca="false">IF(A179="","",E178*$D$7)</f>
        <v/>
      </c>
      <c r="D179" s="14" t="str">
        <f aca="false">IF(A179="","",D178+C179)</f>
        <v/>
      </c>
      <c r="E179" s="14" t="str">
        <f aca="false">IF(A179="","",(E178+B179)*(1+$D$8)+C179*$D$10)</f>
        <v/>
      </c>
    </row>
    <row r="180" customFormat="false" ht="15" hidden="false" customHeight="false" outlineLevel="0" collapsed="false">
      <c r="A180" s="13" t="str">
        <f aca="false">IF(ROW()-ROW($A$22)&lt;=($D$9),ROW()-ROW($A$22),"")</f>
        <v/>
      </c>
      <c r="B180" s="14" t="str">
        <f aca="false">IF(A180="","",$D$6)</f>
        <v/>
      </c>
      <c r="C180" s="14" t="str">
        <f aca="false">IF(A180="","",E179*$D$7)</f>
        <v/>
      </c>
      <c r="D180" s="14" t="str">
        <f aca="false">IF(A180="","",D179+C180)</f>
        <v/>
      </c>
      <c r="E180" s="14" t="str">
        <f aca="false">IF(A180="","",(E179+B180)*(1+$D$8)+C180*$D$10)</f>
        <v/>
      </c>
    </row>
    <row r="181" customFormat="false" ht="15" hidden="false" customHeight="false" outlineLevel="0" collapsed="false">
      <c r="A181" s="13" t="str">
        <f aca="false">IF(ROW()-ROW($A$22)&lt;=($D$9),ROW()-ROW($A$22),"")</f>
        <v/>
      </c>
      <c r="B181" s="14" t="str">
        <f aca="false">IF(A181="","",$D$6)</f>
        <v/>
      </c>
      <c r="C181" s="14" t="str">
        <f aca="false">IF(A181="","",E180*$D$7)</f>
        <v/>
      </c>
      <c r="D181" s="14" t="str">
        <f aca="false">IF(A181="","",D180+C181)</f>
        <v/>
      </c>
      <c r="E181" s="14" t="str">
        <f aca="false">IF(A181="","",(E180+B181)*(1+$D$8)+C181*$D$10)</f>
        <v/>
      </c>
    </row>
    <row r="182" customFormat="false" ht="15" hidden="false" customHeight="false" outlineLevel="0" collapsed="false">
      <c r="A182" s="13" t="str">
        <f aca="false">IF(ROW()-ROW($A$22)&lt;=($D$9),ROW()-ROW($A$22),"")</f>
        <v/>
      </c>
      <c r="B182" s="14" t="str">
        <f aca="false">IF(A182="","",$D$6)</f>
        <v/>
      </c>
      <c r="C182" s="14" t="str">
        <f aca="false">IF(A182="","",E181*$D$7)</f>
        <v/>
      </c>
      <c r="D182" s="14" t="str">
        <f aca="false">IF(A182="","",D181+C182)</f>
        <v/>
      </c>
      <c r="E182" s="14" t="str">
        <f aca="false">IF(A182="","",(E181+B182)*(1+$D$8)+C182*$D$10)</f>
        <v/>
      </c>
    </row>
    <row r="183" customFormat="false" ht="15" hidden="false" customHeight="false" outlineLevel="0" collapsed="false">
      <c r="A183" s="13" t="str">
        <f aca="false">IF(ROW()-ROW($A$22)&lt;=($D$9),ROW()-ROW($A$22),"")</f>
        <v/>
      </c>
      <c r="B183" s="14" t="str">
        <f aca="false">IF(A183="","",$D$6)</f>
        <v/>
      </c>
      <c r="C183" s="14" t="str">
        <f aca="false">IF(A183="","",E182*$D$7)</f>
        <v/>
      </c>
      <c r="D183" s="14" t="str">
        <f aca="false">IF(A183="","",D182+C183)</f>
        <v/>
      </c>
      <c r="E183" s="14" t="str">
        <f aca="false">IF(A183="","",(E182+B183)*(1+$D$8)+C183*$D$10)</f>
        <v/>
      </c>
    </row>
    <row r="184" customFormat="false" ht="15" hidden="false" customHeight="false" outlineLevel="0" collapsed="false">
      <c r="A184" s="13" t="str">
        <f aca="false">IF(ROW()-ROW($A$22)&lt;=($D$9),ROW()-ROW($A$22),"")</f>
        <v/>
      </c>
      <c r="B184" s="14" t="str">
        <f aca="false">IF(A184="","",$D$6)</f>
        <v/>
      </c>
      <c r="C184" s="14" t="str">
        <f aca="false">IF(A184="","",E183*$D$7)</f>
        <v/>
      </c>
      <c r="D184" s="14" t="str">
        <f aca="false">IF(A184="","",D183+C184)</f>
        <v/>
      </c>
      <c r="E184" s="14" t="str">
        <f aca="false">IF(A184="","",(E183+B184)*(1+$D$8)+C184*$D$10)</f>
        <v/>
      </c>
    </row>
    <row r="185" customFormat="false" ht="15" hidden="false" customHeight="false" outlineLevel="0" collapsed="false">
      <c r="A185" s="13" t="str">
        <f aca="false">IF(ROW()-ROW($A$22)&lt;=($D$9),ROW()-ROW($A$22),"")</f>
        <v/>
      </c>
      <c r="B185" s="14" t="str">
        <f aca="false">IF(A185="","",$D$6)</f>
        <v/>
      </c>
      <c r="C185" s="14" t="str">
        <f aca="false">IF(A185="","",E184*$D$7)</f>
        <v/>
      </c>
      <c r="D185" s="14" t="str">
        <f aca="false">IF(A185="","",D184+C185)</f>
        <v/>
      </c>
      <c r="E185" s="14" t="str">
        <f aca="false">IF(A185="","",(E184+B185)*(1+$D$8)+C185*$D$10)</f>
        <v/>
      </c>
    </row>
    <row r="186" customFormat="false" ht="15" hidden="false" customHeight="false" outlineLevel="0" collapsed="false">
      <c r="A186" s="13" t="str">
        <f aca="false">IF(ROW()-ROW($A$22)&lt;=($D$9),ROW()-ROW($A$22),"")</f>
        <v/>
      </c>
      <c r="B186" s="14" t="str">
        <f aca="false">IF(A186="","",$D$6)</f>
        <v/>
      </c>
      <c r="C186" s="14" t="str">
        <f aca="false">IF(A186="","",E185*$D$7)</f>
        <v/>
      </c>
      <c r="D186" s="14" t="str">
        <f aca="false">IF(A186="","",D185+C186)</f>
        <v/>
      </c>
      <c r="E186" s="14" t="str">
        <f aca="false">IF(A186="","",(E185+B186)*(1+$D$8)+C186*$D$10)</f>
        <v/>
      </c>
    </row>
    <row r="187" customFormat="false" ht="15" hidden="false" customHeight="false" outlineLevel="0" collapsed="false">
      <c r="A187" s="13" t="str">
        <f aca="false">IF(ROW()-ROW($A$22)&lt;=($D$9),ROW()-ROW($A$22),"")</f>
        <v/>
      </c>
      <c r="B187" s="14" t="str">
        <f aca="false">IF(A187="","",$D$6)</f>
        <v/>
      </c>
      <c r="C187" s="14" t="str">
        <f aca="false">IF(A187="","",E186*$D$7)</f>
        <v/>
      </c>
      <c r="D187" s="14" t="str">
        <f aca="false">IF(A187="","",D186+C187)</f>
        <v/>
      </c>
      <c r="E187" s="14" t="str">
        <f aca="false">IF(A187="","",(E186+B187)*(1+$D$8)+C187*$D$10)</f>
        <v/>
      </c>
    </row>
    <row r="188" customFormat="false" ht="15" hidden="false" customHeight="false" outlineLevel="0" collapsed="false">
      <c r="A188" s="13" t="str">
        <f aca="false">IF(ROW()-ROW($A$22)&lt;=($D$9),ROW()-ROW($A$22),"")</f>
        <v/>
      </c>
      <c r="B188" s="14" t="str">
        <f aca="false">IF(A188="","",$D$6)</f>
        <v/>
      </c>
      <c r="C188" s="14" t="str">
        <f aca="false">IF(A188="","",E187*$D$7)</f>
        <v/>
      </c>
      <c r="D188" s="14" t="str">
        <f aca="false">IF(A188="","",D187+C188)</f>
        <v/>
      </c>
      <c r="E188" s="14" t="str">
        <f aca="false">IF(A188="","",(E187+B188)*(1+$D$8)+C188*$D$10)</f>
        <v/>
      </c>
    </row>
    <row r="189" customFormat="false" ht="15" hidden="false" customHeight="false" outlineLevel="0" collapsed="false">
      <c r="A189" s="13" t="str">
        <f aca="false">IF(ROW()-ROW($A$22)&lt;=($D$9),ROW()-ROW($A$22),"")</f>
        <v/>
      </c>
      <c r="B189" s="14" t="str">
        <f aca="false">IF(A189="","",$D$6)</f>
        <v/>
      </c>
      <c r="C189" s="14" t="str">
        <f aca="false">IF(A189="","",E188*$D$7)</f>
        <v/>
      </c>
      <c r="D189" s="14" t="str">
        <f aca="false">IF(A189="","",D188+C189)</f>
        <v/>
      </c>
      <c r="E189" s="14" t="str">
        <f aca="false">IF(A189="","",(E188+B189)*(1+$D$8)+C189*$D$10)</f>
        <v/>
      </c>
    </row>
    <row r="190" customFormat="false" ht="15" hidden="false" customHeight="false" outlineLevel="0" collapsed="false">
      <c r="A190" s="13" t="str">
        <f aca="false">IF(ROW()-ROW($A$22)&lt;=($D$9),ROW()-ROW($A$22),"")</f>
        <v/>
      </c>
      <c r="B190" s="14" t="str">
        <f aca="false">IF(A190="","",$D$6)</f>
        <v/>
      </c>
      <c r="C190" s="14" t="str">
        <f aca="false">IF(A190="","",E189*$D$7)</f>
        <v/>
      </c>
      <c r="D190" s="14" t="str">
        <f aca="false">IF(A190="","",D189+C190)</f>
        <v/>
      </c>
      <c r="E190" s="14" t="str">
        <f aca="false">IF(A190="","",(E189+B190)*(1+$D$8)+C190*$D$10)</f>
        <v/>
      </c>
    </row>
    <row r="191" customFormat="false" ht="15" hidden="false" customHeight="false" outlineLevel="0" collapsed="false">
      <c r="A191" s="13" t="str">
        <f aca="false">IF(ROW()-ROW($A$22)&lt;=($D$9),ROW()-ROW($A$22),"")</f>
        <v/>
      </c>
      <c r="B191" s="14" t="str">
        <f aca="false">IF(A191="","",$D$6)</f>
        <v/>
      </c>
      <c r="C191" s="14" t="str">
        <f aca="false">IF(A191="","",E190*$D$7)</f>
        <v/>
      </c>
      <c r="D191" s="14" t="str">
        <f aca="false">IF(A191="","",D190+C191)</f>
        <v/>
      </c>
      <c r="E191" s="14" t="str">
        <f aca="false">IF(A191="","",(E190+B191)*(1+$D$8)+C191*$D$10)</f>
        <v/>
      </c>
    </row>
    <row r="192" customFormat="false" ht="15" hidden="false" customHeight="false" outlineLevel="0" collapsed="false">
      <c r="A192" s="13" t="str">
        <f aca="false">IF(ROW()-ROW($A$22)&lt;=($D$9),ROW()-ROW($A$22),"")</f>
        <v/>
      </c>
      <c r="B192" s="14" t="str">
        <f aca="false">IF(A192="","",$D$6)</f>
        <v/>
      </c>
      <c r="C192" s="14" t="str">
        <f aca="false">IF(A192="","",E191*$D$7)</f>
        <v/>
      </c>
      <c r="D192" s="14" t="str">
        <f aca="false">IF(A192="","",D191+C192)</f>
        <v/>
      </c>
      <c r="E192" s="14" t="str">
        <f aca="false">IF(A192="","",(E191+B192)*(1+$D$8)+C192*$D$10)</f>
        <v/>
      </c>
    </row>
    <row r="193" customFormat="false" ht="15" hidden="false" customHeight="false" outlineLevel="0" collapsed="false">
      <c r="A193" s="13" t="str">
        <f aca="false">IF(ROW()-ROW($A$22)&lt;=($D$9),ROW()-ROW($A$22),"")</f>
        <v/>
      </c>
      <c r="B193" s="14" t="str">
        <f aca="false">IF(A193="","",$D$6)</f>
        <v/>
      </c>
      <c r="C193" s="14" t="str">
        <f aca="false">IF(A193="","",E192*$D$7)</f>
        <v/>
      </c>
      <c r="D193" s="14" t="str">
        <f aca="false">IF(A193="","",D192+C193)</f>
        <v/>
      </c>
      <c r="E193" s="14" t="str">
        <f aca="false">IF(A193="","",(E192+B193)*(1+$D$8)+C193*$D$10)</f>
        <v/>
      </c>
    </row>
    <row r="194" customFormat="false" ht="15" hidden="false" customHeight="false" outlineLevel="0" collapsed="false">
      <c r="A194" s="13" t="str">
        <f aca="false">IF(ROW()-ROW($A$22)&lt;=($D$9),ROW()-ROW($A$22),"")</f>
        <v/>
      </c>
      <c r="B194" s="14" t="str">
        <f aca="false">IF(A194="","",$D$6)</f>
        <v/>
      </c>
      <c r="C194" s="14" t="str">
        <f aca="false">IF(A194="","",E193*$D$7)</f>
        <v/>
      </c>
      <c r="D194" s="14" t="str">
        <f aca="false">IF(A194="","",D193+C194)</f>
        <v/>
      </c>
      <c r="E194" s="14" t="str">
        <f aca="false">IF(A194="","",(E193+B194)*(1+$D$8)+C194*$D$10)</f>
        <v/>
      </c>
    </row>
    <row r="195" customFormat="false" ht="15" hidden="false" customHeight="false" outlineLevel="0" collapsed="false">
      <c r="A195" s="13" t="str">
        <f aca="false">IF(ROW()-ROW($A$22)&lt;=($D$9),ROW()-ROW($A$22),"")</f>
        <v/>
      </c>
      <c r="B195" s="14" t="str">
        <f aca="false">IF(A195="","",$D$6)</f>
        <v/>
      </c>
      <c r="C195" s="14" t="str">
        <f aca="false">IF(A195="","",E194*$D$7)</f>
        <v/>
      </c>
      <c r="D195" s="14" t="str">
        <f aca="false">IF(A195="","",D194+C195)</f>
        <v/>
      </c>
      <c r="E195" s="14" t="str">
        <f aca="false">IF(A195="","",(E194+B195)*(1+$D$8)+C195*$D$10)</f>
        <v/>
      </c>
    </row>
    <row r="196" customFormat="false" ht="15" hidden="false" customHeight="false" outlineLevel="0" collapsed="false">
      <c r="A196" s="13" t="str">
        <f aca="false">IF(ROW()-ROW($A$22)&lt;=($D$9),ROW()-ROW($A$22),"")</f>
        <v/>
      </c>
      <c r="B196" s="14" t="str">
        <f aca="false">IF(A196="","",$D$6)</f>
        <v/>
      </c>
      <c r="C196" s="14" t="str">
        <f aca="false">IF(A196="","",E195*$D$7)</f>
        <v/>
      </c>
      <c r="D196" s="14" t="str">
        <f aca="false">IF(A196="","",D195+C196)</f>
        <v/>
      </c>
      <c r="E196" s="14" t="str">
        <f aca="false">IF(A196="","",(E195+B196)*(1+$D$8)+C196*$D$10)</f>
        <v/>
      </c>
    </row>
    <row r="197" customFormat="false" ht="15" hidden="false" customHeight="false" outlineLevel="0" collapsed="false">
      <c r="A197" s="13" t="str">
        <f aca="false">IF(ROW()-ROW($A$22)&lt;=($D$9),ROW()-ROW($A$22),"")</f>
        <v/>
      </c>
      <c r="B197" s="14" t="str">
        <f aca="false">IF(A197="","",$D$6)</f>
        <v/>
      </c>
      <c r="C197" s="14" t="str">
        <f aca="false">IF(A197="","",E196*$D$7)</f>
        <v/>
      </c>
      <c r="D197" s="14" t="str">
        <f aca="false">IF(A197="","",D196+C197)</f>
        <v/>
      </c>
      <c r="E197" s="14" t="str">
        <f aca="false">IF(A197="","",(E196+B197)*(1+$D$8)+C197*$D$10)</f>
        <v/>
      </c>
    </row>
    <row r="198" customFormat="false" ht="15" hidden="false" customHeight="false" outlineLevel="0" collapsed="false">
      <c r="A198" s="13" t="str">
        <f aca="false">IF(ROW()-ROW($A$22)&lt;=($D$9),ROW()-ROW($A$22),"")</f>
        <v/>
      </c>
      <c r="B198" s="14" t="str">
        <f aca="false">IF(A198="","",$D$6)</f>
        <v/>
      </c>
      <c r="C198" s="14" t="str">
        <f aca="false">IF(A198="","",E197*$D$7)</f>
        <v/>
      </c>
      <c r="D198" s="14" t="str">
        <f aca="false">IF(A198="","",D197+C198)</f>
        <v/>
      </c>
      <c r="E198" s="14" t="str">
        <f aca="false">IF(A198="","",(E197+B198)*(1+$D$8)+C198*$D$10)</f>
        <v/>
      </c>
    </row>
    <row r="199" customFormat="false" ht="15" hidden="false" customHeight="false" outlineLevel="0" collapsed="false">
      <c r="A199" s="13" t="str">
        <f aca="false">IF(ROW()-ROW($A$22)&lt;=($D$9),ROW()-ROW($A$22),"")</f>
        <v/>
      </c>
      <c r="B199" s="14" t="str">
        <f aca="false">IF(A199="","",$D$6)</f>
        <v/>
      </c>
      <c r="C199" s="14" t="str">
        <f aca="false">IF(A199="","",E198*$D$7)</f>
        <v/>
      </c>
      <c r="D199" s="14" t="str">
        <f aca="false">IF(A199="","",D198+C199)</f>
        <v/>
      </c>
      <c r="E199" s="14" t="str">
        <f aca="false">IF(A199="","",(E198+B199)*(1+$D$8)+C199*$D$10)</f>
        <v/>
      </c>
    </row>
    <row r="200" customFormat="false" ht="15" hidden="false" customHeight="false" outlineLevel="0" collapsed="false">
      <c r="A200" s="13" t="str">
        <f aca="false">IF(ROW()-ROW($A$22)&lt;=($D$9),ROW()-ROW($A$22),"")</f>
        <v/>
      </c>
      <c r="B200" s="14" t="str">
        <f aca="false">IF(A200="","",$D$6)</f>
        <v/>
      </c>
      <c r="C200" s="14" t="str">
        <f aca="false">IF(A200="","",E199*$D$7)</f>
        <v/>
      </c>
      <c r="D200" s="14" t="str">
        <f aca="false">IF(A200="","",D199+C200)</f>
        <v/>
      </c>
      <c r="E200" s="14" t="str">
        <f aca="false">IF(A200="","",(E199+B200)*(1+$D$8)+C200*$D$10)</f>
        <v/>
      </c>
    </row>
    <row r="201" customFormat="false" ht="15" hidden="false" customHeight="false" outlineLevel="0" collapsed="false">
      <c r="A201" s="13" t="str">
        <f aca="false">IF(ROW()-ROW($A$22)&lt;=($D$9),ROW()-ROW($A$22),"")</f>
        <v/>
      </c>
      <c r="B201" s="14" t="str">
        <f aca="false">IF(A201="","",$D$6)</f>
        <v/>
      </c>
      <c r="C201" s="14" t="str">
        <f aca="false">IF(A201="","",E200*$D$7)</f>
        <v/>
      </c>
      <c r="D201" s="14" t="str">
        <f aca="false">IF(A201="","",D200+C201)</f>
        <v/>
      </c>
      <c r="E201" s="14" t="str">
        <f aca="false">IF(A201="","",(E200+B201)*(1+$D$8)+C201*$D$10)</f>
        <v/>
      </c>
    </row>
    <row r="202" customFormat="false" ht="15" hidden="false" customHeight="false" outlineLevel="0" collapsed="false">
      <c r="A202" s="13" t="str">
        <f aca="false">IF(ROW()-ROW($A$22)&lt;=($D$9),ROW()-ROW($A$22),"")</f>
        <v/>
      </c>
      <c r="B202" s="14" t="str">
        <f aca="false">IF(A202="","",$D$6)</f>
        <v/>
      </c>
      <c r="C202" s="14" t="str">
        <f aca="false">IF(A202="","",E201*$D$7)</f>
        <v/>
      </c>
      <c r="D202" s="14" t="str">
        <f aca="false">IF(A202="","",D201+C202)</f>
        <v/>
      </c>
      <c r="E202" s="14" t="str">
        <f aca="false">IF(A202="","",(E201+B202)*(1+$D$8)+C202*$D$10)</f>
        <v/>
      </c>
    </row>
    <row r="203" customFormat="false" ht="15" hidden="false" customHeight="false" outlineLevel="0" collapsed="false">
      <c r="A203" s="13" t="str">
        <f aca="false">IF(ROW()-ROW($A$22)&lt;=($D$9),ROW()-ROW($A$22),"")</f>
        <v/>
      </c>
      <c r="B203" s="14" t="str">
        <f aca="false">IF(A203="","",$D$6)</f>
        <v/>
      </c>
      <c r="C203" s="14" t="str">
        <f aca="false">IF(A203="","",E202*$D$7)</f>
        <v/>
      </c>
      <c r="D203" s="14" t="str">
        <f aca="false">IF(A203="","",D202+C203)</f>
        <v/>
      </c>
      <c r="E203" s="14" t="str">
        <f aca="false">IF(A203="","",(E202+B203)*(1+$D$8)+C203*$D$10)</f>
        <v/>
      </c>
    </row>
    <row r="204" customFormat="false" ht="15" hidden="false" customHeight="false" outlineLevel="0" collapsed="false">
      <c r="A204" s="13" t="str">
        <f aca="false">IF(ROW()-ROW($A$22)&lt;=($D$9),ROW()-ROW($A$22),"")</f>
        <v/>
      </c>
      <c r="B204" s="14" t="str">
        <f aca="false">IF(A204="","",$D$6)</f>
        <v/>
      </c>
      <c r="C204" s="14" t="str">
        <f aca="false">IF(A204="","",E203*$D$7)</f>
        <v/>
      </c>
      <c r="D204" s="14" t="str">
        <f aca="false">IF(A204="","",D203+C204)</f>
        <v/>
      </c>
      <c r="E204" s="14" t="str">
        <f aca="false">IF(A204="","",(E203+B204)*(1+$D$8)+C204*$D$10)</f>
        <v/>
      </c>
    </row>
    <row r="205" customFormat="false" ht="15" hidden="false" customHeight="false" outlineLevel="0" collapsed="false">
      <c r="A205" s="13" t="str">
        <f aca="false">IF(ROW()-ROW($A$22)&lt;=($D$9),ROW()-ROW($A$22),"")</f>
        <v/>
      </c>
      <c r="B205" s="14" t="str">
        <f aca="false">IF(A205="","",$D$6)</f>
        <v/>
      </c>
      <c r="C205" s="14" t="str">
        <f aca="false">IF(A205="","",E204*$D$7)</f>
        <v/>
      </c>
      <c r="D205" s="14" t="str">
        <f aca="false">IF(A205="","",D204+C205)</f>
        <v/>
      </c>
      <c r="E205" s="14" t="str">
        <f aca="false">IF(A205="","",(E204+B205)*(1+$D$8)+C205*$D$10)</f>
        <v/>
      </c>
    </row>
    <row r="206" customFormat="false" ht="15" hidden="false" customHeight="false" outlineLevel="0" collapsed="false">
      <c r="A206" s="13" t="str">
        <f aca="false">IF(ROW()-ROW($A$22)&lt;=($D$9),ROW()-ROW($A$22),"")</f>
        <v/>
      </c>
      <c r="B206" s="14" t="str">
        <f aca="false">IF(A206="","",$D$6)</f>
        <v/>
      </c>
      <c r="C206" s="14" t="str">
        <f aca="false">IF(A206="","",E205*$D$7)</f>
        <v/>
      </c>
      <c r="D206" s="14" t="str">
        <f aca="false">IF(A206="","",D205+C206)</f>
        <v/>
      </c>
      <c r="E206" s="14" t="str">
        <f aca="false">IF(A206="","",(E205+B206)*(1+$D$8)+C206*$D$10)</f>
        <v/>
      </c>
    </row>
    <row r="207" customFormat="false" ht="15" hidden="false" customHeight="false" outlineLevel="0" collapsed="false">
      <c r="A207" s="13" t="str">
        <f aca="false">IF(ROW()-ROW($A$22)&lt;=($D$9),ROW()-ROW($A$22),"")</f>
        <v/>
      </c>
      <c r="B207" s="14" t="str">
        <f aca="false">IF(A207="","",$D$6)</f>
        <v/>
      </c>
      <c r="C207" s="14" t="str">
        <f aca="false">IF(A207="","",E206*$D$7)</f>
        <v/>
      </c>
      <c r="D207" s="14" t="str">
        <f aca="false">IF(A207="","",D206+C207)</f>
        <v/>
      </c>
      <c r="E207" s="14" t="str">
        <f aca="false">IF(A207="","",(E206+B207)*(1+$D$8)+C207*$D$10)</f>
        <v/>
      </c>
    </row>
    <row r="208" customFormat="false" ht="15" hidden="false" customHeight="false" outlineLevel="0" collapsed="false">
      <c r="A208" s="13" t="str">
        <f aca="false">IF(ROW()-ROW($A$22)&lt;=($D$9),ROW()-ROW($A$22),"")</f>
        <v/>
      </c>
      <c r="B208" s="14" t="str">
        <f aca="false">IF(A208="","",$D$6)</f>
        <v/>
      </c>
      <c r="C208" s="14" t="str">
        <f aca="false">IF(A208="","",E207*$D$7)</f>
        <v/>
      </c>
      <c r="D208" s="14" t="str">
        <f aca="false">IF(A208="","",D207+C208)</f>
        <v/>
      </c>
      <c r="E208" s="14" t="str">
        <f aca="false">IF(A208="","",(E207+B208)*(1+$D$8)+C208*$D$10)</f>
        <v/>
      </c>
    </row>
    <row r="209" customFormat="false" ht="15" hidden="false" customHeight="false" outlineLevel="0" collapsed="false">
      <c r="A209" s="13" t="str">
        <f aca="false">IF(ROW()-ROW($A$22)&lt;=($D$9),ROW()-ROW($A$22),"")</f>
        <v/>
      </c>
      <c r="B209" s="14" t="str">
        <f aca="false">IF(A209="","",$D$6)</f>
        <v/>
      </c>
      <c r="C209" s="14" t="str">
        <f aca="false">IF(A209="","",E208*$D$7)</f>
        <v/>
      </c>
      <c r="D209" s="14" t="str">
        <f aca="false">IF(A209="","",D208+C209)</f>
        <v/>
      </c>
      <c r="E209" s="14" t="str">
        <f aca="false">IF(A209="","",(E208+B209)*(1+$D$8)+C209*$D$10)</f>
        <v/>
      </c>
    </row>
    <row r="210" customFormat="false" ht="15" hidden="false" customHeight="false" outlineLevel="0" collapsed="false">
      <c r="A210" s="13" t="str">
        <f aca="false">IF(ROW()-ROW($A$22)&lt;=($D$9),ROW()-ROW($A$22),"")</f>
        <v/>
      </c>
      <c r="B210" s="14" t="str">
        <f aca="false">IF(A210="","",$D$6)</f>
        <v/>
      </c>
      <c r="C210" s="14" t="str">
        <f aca="false">IF(A210="","",E209*$D$7)</f>
        <v/>
      </c>
      <c r="D210" s="14" t="str">
        <f aca="false">IF(A210="","",D209+C210)</f>
        <v/>
      </c>
      <c r="E210" s="14" t="str">
        <f aca="false">IF(A210="","",(E209+B210)*(1+$D$8)+C210*$D$10)</f>
        <v/>
      </c>
    </row>
    <row r="211" customFormat="false" ht="15" hidden="false" customHeight="false" outlineLevel="0" collapsed="false">
      <c r="A211" s="13" t="str">
        <f aca="false">IF(ROW()-ROW($A$22)&lt;=($D$9),ROW()-ROW($A$22),"")</f>
        <v/>
      </c>
      <c r="B211" s="14" t="str">
        <f aca="false">IF(A211="","",$D$6)</f>
        <v/>
      </c>
      <c r="C211" s="14" t="str">
        <f aca="false">IF(A211="","",E210*$D$7)</f>
        <v/>
      </c>
      <c r="D211" s="14" t="str">
        <f aca="false">IF(A211="","",D210+C211)</f>
        <v/>
      </c>
      <c r="E211" s="14" t="str">
        <f aca="false">IF(A211="","",(E210+B211)*(1+$D$8)+C211*$D$10)</f>
        <v/>
      </c>
    </row>
    <row r="212" customFormat="false" ht="15" hidden="false" customHeight="false" outlineLevel="0" collapsed="false">
      <c r="A212" s="13" t="str">
        <f aca="false">IF(ROW()-ROW($A$22)&lt;=($D$9),ROW()-ROW($A$22),"")</f>
        <v/>
      </c>
      <c r="B212" s="14" t="str">
        <f aca="false">IF(A212="","",$D$6)</f>
        <v/>
      </c>
      <c r="C212" s="14" t="str">
        <f aca="false">IF(A212="","",E211*$D$7)</f>
        <v/>
      </c>
      <c r="D212" s="14" t="str">
        <f aca="false">IF(A212="","",D211+C212)</f>
        <v/>
      </c>
      <c r="E212" s="14" t="str">
        <f aca="false">IF(A212="","",(E211+B212)*(1+$D$8)+C212*$D$10)</f>
        <v/>
      </c>
    </row>
    <row r="213" customFormat="false" ht="15" hidden="false" customHeight="false" outlineLevel="0" collapsed="false">
      <c r="A213" s="13" t="str">
        <f aca="false">IF(ROW()-ROW($A$22)&lt;=($D$9),ROW()-ROW($A$22),"")</f>
        <v/>
      </c>
      <c r="B213" s="14" t="str">
        <f aca="false">IF(A213="","",$D$6)</f>
        <v/>
      </c>
      <c r="C213" s="14" t="str">
        <f aca="false">IF(A213="","",E212*$D$7)</f>
        <v/>
      </c>
      <c r="D213" s="14" t="str">
        <f aca="false">IF(A213="","",D212+C213)</f>
        <v/>
      </c>
      <c r="E213" s="14" t="str">
        <f aca="false">IF(A213="","",(E212+B213)*(1+$D$8)+C213*$D$10)</f>
        <v/>
      </c>
    </row>
    <row r="214" customFormat="false" ht="15" hidden="false" customHeight="false" outlineLevel="0" collapsed="false">
      <c r="A214" s="13" t="str">
        <f aca="false">IF(ROW()-ROW($A$22)&lt;=($D$9),ROW()-ROW($A$22),"")</f>
        <v/>
      </c>
      <c r="B214" s="14" t="str">
        <f aca="false">IF(A214="","",$D$6)</f>
        <v/>
      </c>
      <c r="C214" s="14" t="str">
        <f aca="false">IF(A214="","",E213*$D$7)</f>
        <v/>
      </c>
      <c r="D214" s="14" t="str">
        <f aca="false">IF(A214="","",D213+C214)</f>
        <v/>
      </c>
      <c r="E214" s="14" t="str">
        <f aca="false">IF(A214="","",(E213+B214)*(1+$D$8)+C214*$D$10)</f>
        <v/>
      </c>
    </row>
    <row r="215" customFormat="false" ht="15" hidden="false" customHeight="false" outlineLevel="0" collapsed="false">
      <c r="A215" s="13" t="str">
        <f aca="false">IF(ROW()-ROW($A$22)&lt;=($D$9),ROW()-ROW($A$22),"")</f>
        <v/>
      </c>
      <c r="B215" s="14" t="str">
        <f aca="false">IF(A215="","",$D$6)</f>
        <v/>
      </c>
      <c r="C215" s="14" t="str">
        <f aca="false">IF(A215="","",E214*$D$7)</f>
        <v/>
      </c>
      <c r="D215" s="14" t="str">
        <f aca="false">IF(A215="","",D214+C215)</f>
        <v/>
      </c>
      <c r="E215" s="14" t="str">
        <f aca="false">IF(A215="","",(E214+B215)*(1+$D$8)+C215*$D$10)</f>
        <v/>
      </c>
    </row>
    <row r="216" customFormat="false" ht="15" hidden="false" customHeight="false" outlineLevel="0" collapsed="false">
      <c r="A216" s="13" t="str">
        <f aca="false">IF(ROW()-ROW($A$22)&lt;=($D$9),ROW()-ROW($A$22),"")</f>
        <v/>
      </c>
      <c r="B216" s="14" t="str">
        <f aca="false">IF(A216="","",$D$6)</f>
        <v/>
      </c>
      <c r="C216" s="14" t="str">
        <f aca="false">IF(A216="","",E215*$D$7)</f>
        <v/>
      </c>
      <c r="D216" s="14" t="str">
        <f aca="false">IF(A216="","",D215+C216)</f>
        <v/>
      </c>
      <c r="E216" s="14" t="str">
        <f aca="false">IF(A216="","",(E215+B216)*(1+$D$8)+C216*$D$10)</f>
        <v/>
      </c>
    </row>
    <row r="217" customFormat="false" ht="15" hidden="false" customHeight="false" outlineLevel="0" collapsed="false">
      <c r="A217" s="13" t="str">
        <f aca="false">IF(ROW()-ROW($A$22)&lt;=($D$9),ROW()-ROW($A$22),"")</f>
        <v/>
      </c>
      <c r="B217" s="14" t="str">
        <f aca="false">IF(A217="","",$D$6)</f>
        <v/>
      </c>
      <c r="C217" s="14" t="str">
        <f aca="false">IF(A217="","",E216*$D$7)</f>
        <v/>
      </c>
      <c r="D217" s="14" t="str">
        <f aca="false">IF(A217="","",D216+C217)</f>
        <v/>
      </c>
      <c r="E217" s="14" t="str">
        <f aca="false">IF(A217="","",(E216+B217)*(1+$D$8)+C217*$D$10)</f>
        <v/>
      </c>
    </row>
    <row r="218" customFormat="false" ht="15" hidden="false" customHeight="false" outlineLevel="0" collapsed="false">
      <c r="A218" s="13" t="str">
        <f aca="false">IF(ROW()-ROW($A$22)&lt;=($D$9),ROW()-ROW($A$22),"")</f>
        <v/>
      </c>
      <c r="B218" s="14" t="str">
        <f aca="false">IF(A218="","",$D$6)</f>
        <v/>
      </c>
      <c r="C218" s="14" t="str">
        <f aca="false">IF(A218="","",E217*$D$7)</f>
        <v/>
      </c>
      <c r="D218" s="14" t="str">
        <f aca="false">IF(A218="","",D217+C218)</f>
        <v/>
      </c>
      <c r="E218" s="14" t="str">
        <f aca="false">IF(A218="","",(E217+B218)*(1+$D$8)+C218*$D$10)</f>
        <v/>
      </c>
    </row>
    <row r="219" customFormat="false" ht="15" hidden="false" customHeight="false" outlineLevel="0" collapsed="false">
      <c r="A219" s="13" t="str">
        <f aca="false">IF(ROW()-ROW($A$22)&lt;=($D$9),ROW()-ROW($A$22),"")</f>
        <v/>
      </c>
      <c r="B219" s="14" t="str">
        <f aca="false">IF(A219="","",$D$6)</f>
        <v/>
      </c>
      <c r="C219" s="14" t="str">
        <f aca="false">IF(A219="","",E218*$D$7)</f>
        <v/>
      </c>
      <c r="D219" s="14" t="str">
        <f aca="false">IF(A219="","",D218+C219)</f>
        <v/>
      </c>
      <c r="E219" s="14" t="str">
        <f aca="false">IF(A219="","",(E218+B219)*(1+$D$8)+C219*$D$10)</f>
        <v/>
      </c>
    </row>
    <row r="220" customFormat="false" ht="15" hidden="false" customHeight="false" outlineLevel="0" collapsed="false">
      <c r="A220" s="13" t="str">
        <f aca="false">IF(ROW()-ROW($A$22)&lt;=($D$9),ROW()-ROW($A$22),"")</f>
        <v/>
      </c>
      <c r="B220" s="14" t="str">
        <f aca="false">IF(A220="","",$D$6)</f>
        <v/>
      </c>
      <c r="C220" s="14" t="str">
        <f aca="false">IF(A220="","",E219*$D$7)</f>
        <v/>
      </c>
      <c r="D220" s="14" t="str">
        <f aca="false">IF(A220="","",D219+C220)</f>
        <v/>
      </c>
      <c r="E220" s="14" t="str">
        <f aca="false">IF(A220="","",(E219+B220)*(1+$D$8)+C220*$D$10)</f>
        <v/>
      </c>
    </row>
    <row r="221" customFormat="false" ht="15" hidden="false" customHeight="false" outlineLevel="0" collapsed="false">
      <c r="A221" s="13" t="str">
        <f aca="false">IF(ROW()-ROW($A$22)&lt;=($D$9),ROW()-ROW($A$22),"")</f>
        <v/>
      </c>
      <c r="B221" s="14" t="str">
        <f aca="false">IF(A221="","",$D$6)</f>
        <v/>
      </c>
      <c r="C221" s="14" t="str">
        <f aca="false">IF(A221="","",E220*$D$7)</f>
        <v/>
      </c>
      <c r="D221" s="14" t="str">
        <f aca="false">IF(A221="","",D220+C221)</f>
        <v/>
      </c>
      <c r="E221" s="14" t="str">
        <f aca="false">IF(A221="","",(E220+B221)*(1+$D$8)+C221*$D$10)</f>
        <v/>
      </c>
    </row>
    <row r="222" customFormat="false" ht="15" hidden="false" customHeight="false" outlineLevel="0" collapsed="false">
      <c r="A222" s="13" t="str">
        <f aca="false">IF(ROW()-ROW($A$22)&lt;=($D$9),ROW()-ROW($A$22),"")</f>
        <v/>
      </c>
      <c r="B222" s="14" t="str">
        <f aca="false">IF(A222="","",$D$6)</f>
        <v/>
      </c>
      <c r="C222" s="14" t="str">
        <f aca="false">IF(A222="","",E221*$D$7)</f>
        <v/>
      </c>
      <c r="D222" s="14" t="str">
        <f aca="false">IF(A222="","",D221+C222)</f>
        <v/>
      </c>
      <c r="E222" s="14" t="str">
        <f aca="false">IF(A222="","",(E221+B222)*(1+$D$8)+C222*$D$10)</f>
        <v/>
      </c>
    </row>
    <row r="223" customFormat="false" ht="15" hidden="false" customHeight="false" outlineLevel="0" collapsed="false">
      <c r="A223" s="13" t="str">
        <f aca="false">IF(ROW()-ROW($A$22)&lt;=($D$9),ROW()-ROW($A$22),"")</f>
        <v/>
      </c>
      <c r="B223" s="14" t="str">
        <f aca="false">IF(A223="","",$D$6)</f>
        <v/>
      </c>
      <c r="C223" s="14" t="str">
        <f aca="false">IF(A223="","",E222*$D$7)</f>
        <v/>
      </c>
      <c r="D223" s="14" t="str">
        <f aca="false">IF(A223="","",D222+C223)</f>
        <v/>
      </c>
      <c r="E223" s="14" t="str">
        <f aca="false">IF(A223="","",(E222+B223)*(1+$D$8)+C223*$D$10)</f>
        <v/>
      </c>
    </row>
    <row r="224" customFormat="false" ht="15" hidden="false" customHeight="false" outlineLevel="0" collapsed="false">
      <c r="A224" s="13" t="str">
        <f aca="false">IF(ROW()-ROW($A$22)&lt;=($D$9),ROW()-ROW($A$22),"")</f>
        <v/>
      </c>
      <c r="B224" s="14" t="str">
        <f aca="false">IF(A224="","",$D$6)</f>
        <v/>
      </c>
      <c r="C224" s="14" t="str">
        <f aca="false">IF(A224="","",E223*$D$7)</f>
        <v/>
      </c>
      <c r="D224" s="14" t="str">
        <f aca="false">IF(A224="","",D223+C224)</f>
        <v/>
      </c>
      <c r="E224" s="14" t="str">
        <f aca="false">IF(A224="","",(E223+B224)*(1+$D$8)+C224*$D$10)</f>
        <v/>
      </c>
    </row>
    <row r="225" customFormat="false" ht="15" hidden="false" customHeight="false" outlineLevel="0" collapsed="false">
      <c r="A225" s="13" t="str">
        <f aca="false">IF(ROW()-ROW($A$22)&lt;=($D$9),ROW()-ROW($A$22),"")</f>
        <v/>
      </c>
      <c r="B225" s="14" t="str">
        <f aca="false">IF(A225="","",$D$6)</f>
        <v/>
      </c>
      <c r="C225" s="14" t="str">
        <f aca="false">IF(A225="","",E224*$D$7)</f>
        <v/>
      </c>
      <c r="D225" s="14" t="str">
        <f aca="false">IF(A225="","",D224+C225)</f>
        <v/>
      </c>
      <c r="E225" s="14" t="str">
        <f aca="false">IF(A225="","",(E224+B225)*(1+$D$8)+C225*$D$10)</f>
        <v/>
      </c>
    </row>
    <row r="226" customFormat="false" ht="15" hidden="false" customHeight="false" outlineLevel="0" collapsed="false">
      <c r="A226" s="13" t="str">
        <f aca="false">IF(ROW()-ROW($A$22)&lt;=($D$9),ROW()-ROW($A$22),"")</f>
        <v/>
      </c>
      <c r="B226" s="14" t="str">
        <f aca="false">IF(A226="","",$D$6)</f>
        <v/>
      </c>
      <c r="C226" s="14" t="str">
        <f aca="false">IF(A226="","",E225*$D$7)</f>
        <v/>
      </c>
      <c r="D226" s="14" t="str">
        <f aca="false">IF(A226="","",D225+C226)</f>
        <v/>
      </c>
      <c r="E226" s="14" t="str">
        <f aca="false">IF(A226="","",(E225+B226)*(1+$D$8)+C226*$D$10)</f>
        <v/>
      </c>
    </row>
    <row r="227" customFormat="false" ht="15" hidden="false" customHeight="false" outlineLevel="0" collapsed="false">
      <c r="A227" s="13" t="str">
        <f aca="false">IF(ROW()-ROW($A$22)&lt;=($D$9),ROW()-ROW($A$22),"")</f>
        <v/>
      </c>
      <c r="B227" s="14" t="str">
        <f aca="false">IF(A227="","",$D$6)</f>
        <v/>
      </c>
      <c r="C227" s="14" t="str">
        <f aca="false">IF(A227="","",E226*$D$7)</f>
        <v/>
      </c>
      <c r="D227" s="14" t="str">
        <f aca="false">IF(A227="","",D226+C227)</f>
        <v/>
      </c>
      <c r="E227" s="14" t="str">
        <f aca="false">IF(A227="","",(E226+B227)*(1+$D$8)+C227*$D$10)</f>
        <v/>
      </c>
    </row>
    <row r="228" customFormat="false" ht="15" hidden="false" customHeight="false" outlineLevel="0" collapsed="false">
      <c r="A228" s="13" t="str">
        <f aca="false">IF(ROW()-ROW($A$22)&lt;=($D$9),ROW()-ROW($A$22),"")</f>
        <v/>
      </c>
      <c r="B228" s="14" t="str">
        <f aca="false">IF(A228="","",$D$6)</f>
        <v/>
      </c>
      <c r="C228" s="14" t="str">
        <f aca="false">IF(A228="","",E227*$D$7)</f>
        <v/>
      </c>
      <c r="D228" s="14" t="str">
        <f aca="false">IF(A228="","",D227+C228)</f>
        <v/>
      </c>
      <c r="E228" s="14" t="str">
        <f aca="false">IF(A228="","",(E227+B228)*(1+$D$8)+C228*$D$10)</f>
        <v/>
      </c>
    </row>
    <row r="229" customFormat="false" ht="15" hidden="false" customHeight="false" outlineLevel="0" collapsed="false">
      <c r="A229" s="13" t="str">
        <f aca="false">IF(ROW()-ROW($A$22)&lt;=($D$9),ROW()-ROW($A$22),"")</f>
        <v/>
      </c>
      <c r="B229" s="14" t="str">
        <f aca="false">IF(A229="","",$D$6)</f>
        <v/>
      </c>
      <c r="C229" s="14" t="str">
        <f aca="false">IF(A229="","",E228*$D$7)</f>
        <v/>
      </c>
      <c r="D229" s="14" t="str">
        <f aca="false">IF(A229="","",D228+C229)</f>
        <v/>
      </c>
      <c r="E229" s="14" t="str">
        <f aca="false">IF(A229="","",(E228+B229)*(1+$D$8)+C229*$D$10)</f>
        <v/>
      </c>
    </row>
    <row r="230" customFormat="false" ht="15" hidden="false" customHeight="false" outlineLevel="0" collapsed="false">
      <c r="A230" s="13" t="str">
        <f aca="false">IF(ROW()-ROW($A$22)&lt;=($D$9),ROW()-ROW($A$22),"")</f>
        <v/>
      </c>
      <c r="B230" s="14" t="str">
        <f aca="false">IF(A230="","",$D$6)</f>
        <v/>
      </c>
      <c r="C230" s="14" t="str">
        <f aca="false">IF(A230="","",E229*$D$7)</f>
        <v/>
      </c>
      <c r="D230" s="14" t="str">
        <f aca="false">IF(A230="","",D229+C230)</f>
        <v/>
      </c>
      <c r="E230" s="14" t="str">
        <f aca="false">IF(A230="","",(E229+B230)*(1+$D$8)+C230*$D$10)</f>
        <v/>
      </c>
    </row>
    <row r="231" customFormat="false" ht="15" hidden="false" customHeight="false" outlineLevel="0" collapsed="false">
      <c r="A231" s="13" t="str">
        <f aca="false">IF(ROW()-ROW($A$22)&lt;=($D$9),ROW()-ROW($A$22),"")</f>
        <v/>
      </c>
      <c r="B231" s="14" t="str">
        <f aca="false">IF(A231="","",$D$6)</f>
        <v/>
      </c>
      <c r="C231" s="14" t="str">
        <f aca="false">IF(A231="","",E230*$D$7)</f>
        <v/>
      </c>
      <c r="D231" s="14" t="str">
        <f aca="false">IF(A231="","",D230+C231)</f>
        <v/>
      </c>
      <c r="E231" s="14" t="str">
        <f aca="false">IF(A231="","",(E230+B231)*(1+$D$8)+C231*$D$10)</f>
        <v/>
      </c>
    </row>
    <row r="232" customFormat="false" ht="15" hidden="false" customHeight="false" outlineLevel="0" collapsed="false">
      <c r="A232" s="13" t="str">
        <f aca="false">IF(ROW()-ROW($A$22)&lt;=($D$9),ROW()-ROW($A$22),"")</f>
        <v/>
      </c>
      <c r="B232" s="14" t="str">
        <f aca="false">IF(A232="","",$D$6)</f>
        <v/>
      </c>
      <c r="C232" s="14" t="str">
        <f aca="false">IF(A232="","",E231*$D$7)</f>
        <v/>
      </c>
      <c r="D232" s="14" t="str">
        <f aca="false">IF(A232="","",D231+C232)</f>
        <v/>
      </c>
      <c r="E232" s="14" t="str">
        <f aca="false">IF(A232="","",(E231+B232)*(1+$D$8)+C232*$D$10)</f>
        <v/>
      </c>
    </row>
    <row r="233" customFormat="false" ht="15" hidden="false" customHeight="false" outlineLevel="0" collapsed="false">
      <c r="A233" s="13" t="str">
        <f aca="false">IF(ROW()-ROW($A$22)&lt;=($D$9),ROW()-ROW($A$22),"")</f>
        <v/>
      </c>
      <c r="B233" s="14" t="str">
        <f aca="false">IF(A233="","",$D$6)</f>
        <v/>
      </c>
      <c r="C233" s="14" t="str">
        <f aca="false">IF(A233="","",E232*$D$7)</f>
        <v/>
      </c>
      <c r="D233" s="14" t="str">
        <f aca="false">IF(A233="","",D232+C233)</f>
        <v/>
      </c>
      <c r="E233" s="14" t="str">
        <f aca="false">IF(A233="","",(E232+B233)*(1+$D$8)+C233*$D$10)</f>
        <v/>
      </c>
    </row>
    <row r="234" customFormat="false" ht="15" hidden="false" customHeight="false" outlineLevel="0" collapsed="false">
      <c r="A234" s="13" t="str">
        <f aca="false">IF(ROW()-ROW($A$22)&lt;=($D$9),ROW()-ROW($A$22),"")</f>
        <v/>
      </c>
      <c r="B234" s="14" t="str">
        <f aca="false">IF(A234="","",$D$6)</f>
        <v/>
      </c>
      <c r="C234" s="14" t="str">
        <f aca="false">IF(A234="","",E233*$D$7)</f>
        <v/>
      </c>
      <c r="D234" s="14" t="str">
        <f aca="false">IF(A234="","",D233+C234)</f>
        <v/>
      </c>
      <c r="E234" s="14" t="str">
        <f aca="false">IF(A234="","",(E233+B234)*(1+$D$8)+C234*$D$10)</f>
        <v/>
      </c>
    </row>
    <row r="235" customFormat="false" ht="15" hidden="false" customHeight="false" outlineLevel="0" collapsed="false">
      <c r="A235" s="13" t="str">
        <f aca="false">IF(ROW()-ROW($A$22)&lt;=($D$9),ROW()-ROW($A$22),"")</f>
        <v/>
      </c>
      <c r="B235" s="14" t="str">
        <f aca="false">IF(A235="","",$D$6)</f>
        <v/>
      </c>
      <c r="C235" s="14" t="str">
        <f aca="false">IF(A235="","",E234*$D$7)</f>
        <v/>
      </c>
      <c r="D235" s="14" t="str">
        <f aca="false">IF(A235="","",D234+C235)</f>
        <v/>
      </c>
      <c r="E235" s="14" t="str">
        <f aca="false">IF(A235="","",(E234+B235)*(1+$D$8)+C235*$D$10)</f>
        <v/>
      </c>
    </row>
    <row r="236" customFormat="false" ht="15" hidden="false" customHeight="false" outlineLevel="0" collapsed="false">
      <c r="A236" s="13" t="str">
        <f aca="false">IF(ROW()-ROW($A$22)&lt;=($D$9),ROW()-ROW($A$22),"")</f>
        <v/>
      </c>
      <c r="B236" s="14" t="str">
        <f aca="false">IF(A236="","",$D$6)</f>
        <v/>
      </c>
      <c r="C236" s="14" t="str">
        <f aca="false">IF(A236="","",E235*$D$7)</f>
        <v/>
      </c>
      <c r="D236" s="14" t="str">
        <f aca="false">IF(A236="","",D235+C236)</f>
        <v/>
      </c>
      <c r="E236" s="14" t="str">
        <f aca="false">IF(A236="","",(E235+B236)*(1+$D$8)+C236*$D$10)</f>
        <v/>
      </c>
    </row>
    <row r="237" customFormat="false" ht="15" hidden="false" customHeight="false" outlineLevel="0" collapsed="false">
      <c r="A237" s="13" t="str">
        <f aca="false">IF(ROW()-ROW($A$22)&lt;=($D$9),ROW()-ROW($A$22),"")</f>
        <v/>
      </c>
      <c r="B237" s="14" t="str">
        <f aca="false">IF(A237="","",$D$6)</f>
        <v/>
      </c>
      <c r="C237" s="14" t="str">
        <f aca="false">IF(A237="","",E236*$D$7)</f>
        <v/>
      </c>
      <c r="D237" s="14" t="str">
        <f aca="false">IF(A237="","",D236+C237)</f>
        <v/>
      </c>
      <c r="E237" s="14" t="str">
        <f aca="false">IF(A237="","",(E236+B237)*(1+$D$8)+C237*$D$10)</f>
        <v/>
      </c>
    </row>
    <row r="238" customFormat="false" ht="15" hidden="false" customHeight="false" outlineLevel="0" collapsed="false">
      <c r="A238" s="13" t="str">
        <f aca="false">IF(ROW()-ROW($A$22)&lt;=($D$9),ROW()-ROW($A$22),"")</f>
        <v/>
      </c>
      <c r="B238" s="14" t="str">
        <f aca="false">IF(A238="","",$D$6)</f>
        <v/>
      </c>
      <c r="C238" s="14" t="str">
        <f aca="false">IF(A238="","",E237*$D$7)</f>
        <v/>
      </c>
      <c r="D238" s="14" t="str">
        <f aca="false">IF(A238="","",D237+C238)</f>
        <v/>
      </c>
      <c r="E238" s="14" t="str">
        <f aca="false">IF(A238="","",(E237+B238)*(1+$D$8)+C238*$D$10)</f>
        <v/>
      </c>
    </row>
    <row r="239" customFormat="false" ht="15" hidden="false" customHeight="false" outlineLevel="0" collapsed="false">
      <c r="A239" s="13" t="str">
        <f aca="false">IF(ROW()-ROW($A$22)&lt;=($D$9),ROW()-ROW($A$22),"")</f>
        <v/>
      </c>
      <c r="B239" s="14" t="str">
        <f aca="false">IF(A239="","",$D$6)</f>
        <v/>
      </c>
      <c r="C239" s="14" t="str">
        <f aca="false">IF(A239="","",E238*$D$7)</f>
        <v/>
      </c>
      <c r="D239" s="14" t="str">
        <f aca="false">IF(A239="","",D238+C239)</f>
        <v/>
      </c>
      <c r="E239" s="14" t="str">
        <f aca="false">IF(A239="","",(E238+B239)*(1+$D$8)+C239*$D$10)</f>
        <v/>
      </c>
    </row>
    <row r="240" customFormat="false" ht="15" hidden="false" customHeight="false" outlineLevel="0" collapsed="false">
      <c r="A240" s="13" t="str">
        <f aca="false">IF(ROW()-ROW($A$22)&lt;=($D$9),ROW()-ROW($A$22),"")</f>
        <v/>
      </c>
      <c r="B240" s="14" t="str">
        <f aca="false">IF(A240="","",$D$6)</f>
        <v/>
      </c>
      <c r="C240" s="14" t="str">
        <f aca="false">IF(A240="","",E239*$D$7)</f>
        <v/>
      </c>
      <c r="D240" s="14" t="str">
        <f aca="false">IF(A240="","",D239+C240)</f>
        <v/>
      </c>
      <c r="E240" s="14" t="str">
        <f aca="false">IF(A240="","",(E239+B240)*(1+$D$8)+C240*$D$10)</f>
        <v/>
      </c>
    </row>
    <row r="241" customFormat="false" ht="15" hidden="false" customHeight="false" outlineLevel="0" collapsed="false">
      <c r="A241" s="13" t="str">
        <f aca="false">IF(ROW()-ROW($A$22)&lt;=($D$9),ROW()-ROW($A$22),"")</f>
        <v/>
      </c>
      <c r="B241" s="14" t="str">
        <f aca="false">IF(A241="","",$D$6)</f>
        <v/>
      </c>
      <c r="C241" s="14" t="str">
        <f aca="false">IF(A241="","",E240*$D$7)</f>
        <v/>
      </c>
      <c r="D241" s="14" t="str">
        <f aca="false">IF(A241="","",D240+C241)</f>
        <v/>
      </c>
      <c r="E241" s="14" t="str">
        <f aca="false">IF(A241="","",(E240+B241)*(1+$D$8)+C241*$D$10)</f>
        <v/>
      </c>
    </row>
    <row r="242" customFormat="false" ht="15" hidden="false" customHeight="false" outlineLevel="0" collapsed="false">
      <c r="A242" s="13" t="str">
        <f aca="false">IF(ROW()-ROW($A$22)&lt;=($D$9),ROW()-ROW($A$22),"")</f>
        <v/>
      </c>
      <c r="B242" s="14" t="str">
        <f aca="false">IF(A242="","",$D$6)</f>
        <v/>
      </c>
      <c r="C242" s="14" t="str">
        <f aca="false">IF(A242="","",E241*$D$7)</f>
        <v/>
      </c>
      <c r="D242" s="14" t="str">
        <f aca="false">IF(A242="","",D241+C242)</f>
        <v/>
      </c>
      <c r="E242" s="14" t="str">
        <f aca="false">IF(A242="","",(E241+B242)*(1+$D$8)+C242*$D$10)</f>
        <v/>
      </c>
    </row>
    <row r="243" customFormat="false" ht="15" hidden="false" customHeight="false" outlineLevel="0" collapsed="false">
      <c r="A243" s="13" t="str">
        <f aca="false">IF(ROW()-ROW($A$22)&lt;=($D$9),ROW()-ROW($A$22),"")</f>
        <v/>
      </c>
      <c r="B243" s="14" t="str">
        <f aca="false">IF(A243="","",$D$6)</f>
        <v/>
      </c>
      <c r="C243" s="14" t="str">
        <f aca="false">IF(A243="","",E242*$D$7)</f>
        <v/>
      </c>
      <c r="D243" s="14" t="str">
        <f aca="false">IF(A243="","",D242+C243)</f>
        <v/>
      </c>
      <c r="E243" s="14" t="str">
        <f aca="false">IF(A243="","",(E242+B243)*(1+$D$8)+C243*$D$10)</f>
        <v/>
      </c>
    </row>
    <row r="244" customFormat="false" ht="15" hidden="false" customHeight="false" outlineLevel="0" collapsed="false">
      <c r="A244" s="13" t="str">
        <f aca="false">IF(ROW()-ROW($A$22)&lt;=($D$9),ROW()-ROW($A$22),"")</f>
        <v/>
      </c>
      <c r="B244" s="14" t="str">
        <f aca="false">IF(A244="","",$D$6)</f>
        <v/>
      </c>
      <c r="C244" s="14" t="str">
        <f aca="false">IF(A244="","",E243*$D$7)</f>
        <v/>
      </c>
      <c r="D244" s="14" t="str">
        <f aca="false">IF(A244="","",D243+C244)</f>
        <v/>
      </c>
      <c r="E244" s="14" t="str">
        <f aca="false">IF(A244="","",(E243+B244)*(1+$D$8)+C244*$D$10)</f>
        <v/>
      </c>
    </row>
    <row r="245" customFormat="false" ht="15" hidden="false" customHeight="false" outlineLevel="0" collapsed="false">
      <c r="A245" s="13" t="str">
        <f aca="false">IF(ROW()-ROW($A$22)&lt;=($D$9),ROW()-ROW($A$22),"")</f>
        <v/>
      </c>
      <c r="B245" s="14" t="str">
        <f aca="false">IF(A245="","",$D$6)</f>
        <v/>
      </c>
      <c r="C245" s="14" t="str">
        <f aca="false">IF(A245="","",E244*$D$7)</f>
        <v/>
      </c>
      <c r="D245" s="14" t="str">
        <f aca="false">IF(A245="","",D244+C245)</f>
        <v/>
      </c>
      <c r="E245" s="14" t="str">
        <f aca="false">IF(A245="","",(E244+B245)*(1+$D$8)+C245*$D$10)</f>
        <v/>
      </c>
    </row>
    <row r="246" customFormat="false" ht="15" hidden="false" customHeight="false" outlineLevel="0" collapsed="false">
      <c r="A246" s="13" t="str">
        <f aca="false">IF(ROW()-ROW($A$22)&lt;=($D$9),ROW()-ROW($A$22),"")</f>
        <v/>
      </c>
      <c r="B246" s="14" t="str">
        <f aca="false">IF(A246="","",$D$6)</f>
        <v/>
      </c>
      <c r="C246" s="14" t="str">
        <f aca="false">IF(A246="","",E245*$D$7)</f>
        <v/>
      </c>
      <c r="D246" s="14" t="str">
        <f aca="false">IF(A246="","",D245+C246)</f>
        <v/>
      </c>
      <c r="E246" s="14" t="str">
        <f aca="false">IF(A246="","",(E245+B246)*(1+$D$8)+C246*$D$10)</f>
        <v/>
      </c>
    </row>
    <row r="247" customFormat="false" ht="15" hidden="false" customHeight="false" outlineLevel="0" collapsed="false">
      <c r="A247" s="13" t="str">
        <f aca="false">IF(ROW()-ROW($A$22)&lt;=($D$9),ROW()-ROW($A$22),"")</f>
        <v/>
      </c>
      <c r="B247" s="14" t="str">
        <f aca="false">IF(A247="","",$D$6)</f>
        <v/>
      </c>
      <c r="C247" s="14" t="str">
        <f aca="false">IF(A247="","",E246*$D$7)</f>
        <v/>
      </c>
      <c r="D247" s="14" t="str">
        <f aca="false">IF(A247="","",D246+C247)</f>
        <v/>
      </c>
      <c r="E247" s="14" t="str">
        <f aca="false">IF(A247="","",(E246+B247)*(1+$D$8)+C247*$D$10)</f>
        <v/>
      </c>
    </row>
    <row r="248" customFormat="false" ht="15" hidden="false" customHeight="false" outlineLevel="0" collapsed="false">
      <c r="A248" s="13" t="str">
        <f aca="false">IF(ROW()-ROW($A$22)&lt;=($D$9),ROW()-ROW($A$22),"")</f>
        <v/>
      </c>
      <c r="B248" s="14" t="str">
        <f aca="false">IF(A248="","",$D$6)</f>
        <v/>
      </c>
      <c r="C248" s="14" t="str">
        <f aca="false">IF(A248="","",E247*$D$7)</f>
        <v/>
      </c>
      <c r="D248" s="14" t="str">
        <f aca="false">IF(A248="","",D247+C248)</f>
        <v/>
      </c>
      <c r="E248" s="14" t="str">
        <f aca="false">IF(A248="","",(E247+B248)*(1+$D$8)+C248*$D$10)</f>
        <v/>
      </c>
    </row>
    <row r="249" customFormat="false" ht="15" hidden="false" customHeight="false" outlineLevel="0" collapsed="false">
      <c r="A249" s="13" t="str">
        <f aca="false">IF(ROW()-ROW($A$22)&lt;=($D$9),ROW()-ROW($A$22),"")</f>
        <v/>
      </c>
      <c r="B249" s="14" t="str">
        <f aca="false">IF(A249="","",$D$6)</f>
        <v/>
      </c>
      <c r="C249" s="14" t="str">
        <f aca="false">IF(A249="","",E248*$D$7)</f>
        <v/>
      </c>
      <c r="D249" s="14" t="str">
        <f aca="false">IF(A249="","",D248+C249)</f>
        <v/>
      </c>
      <c r="E249" s="14" t="str">
        <f aca="false">IF(A249="","",(E248+B249)*(1+$D$8)+C249*$D$10)</f>
        <v/>
      </c>
    </row>
    <row r="250" customFormat="false" ht="15" hidden="false" customHeight="false" outlineLevel="0" collapsed="false">
      <c r="A250" s="13" t="str">
        <f aca="false">IF(ROW()-ROW($A$22)&lt;=($D$9),ROW()-ROW($A$22),"")</f>
        <v/>
      </c>
      <c r="B250" s="14" t="str">
        <f aca="false">IF(A250="","",$D$6)</f>
        <v/>
      </c>
      <c r="C250" s="14" t="str">
        <f aca="false">IF(A250="","",E249*$D$7)</f>
        <v/>
      </c>
      <c r="D250" s="14" t="str">
        <f aca="false">IF(A250="","",D249+C250)</f>
        <v/>
      </c>
      <c r="E250" s="14" t="str">
        <f aca="false">IF(A250="","",(E249+B250)*(1+$D$8)+C250*$D$10)</f>
        <v/>
      </c>
    </row>
    <row r="251" customFormat="false" ht="15" hidden="false" customHeight="false" outlineLevel="0" collapsed="false">
      <c r="A251" s="13" t="str">
        <f aca="false">IF(ROW()-ROW($A$22)&lt;=($D$9),ROW()-ROW($A$22),"")</f>
        <v/>
      </c>
      <c r="B251" s="14" t="str">
        <f aca="false">IF(A251="","",$D$6)</f>
        <v/>
      </c>
      <c r="C251" s="14" t="str">
        <f aca="false">IF(A251="","",E250*$D$7)</f>
        <v/>
      </c>
      <c r="D251" s="14" t="str">
        <f aca="false">IF(A251="","",D250+C251)</f>
        <v/>
      </c>
      <c r="E251" s="14" t="str">
        <f aca="false">IF(A251="","",(E250+B251)*(1+$D$8)+C251*$D$10)</f>
        <v/>
      </c>
    </row>
    <row r="252" customFormat="false" ht="15" hidden="false" customHeight="false" outlineLevel="0" collapsed="false">
      <c r="A252" s="13" t="str">
        <f aca="false">IF(ROW()-ROW($A$22)&lt;=($D$9),ROW()-ROW($A$22),"")</f>
        <v/>
      </c>
      <c r="B252" s="14" t="str">
        <f aca="false">IF(A252="","",$D$6)</f>
        <v/>
      </c>
      <c r="C252" s="14" t="str">
        <f aca="false">IF(A252="","",E251*$D$7)</f>
        <v/>
      </c>
      <c r="D252" s="14" t="str">
        <f aca="false">IF(A252="","",D251+C252)</f>
        <v/>
      </c>
      <c r="E252" s="14" t="str">
        <f aca="false">IF(A252="","",(E251+B252)*(1+$D$8)+C252*$D$10)</f>
        <v/>
      </c>
    </row>
    <row r="253" customFormat="false" ht="15" hidden="false" customHeight="false" outlineLevel="0" collapsed="false">
      <c r="A253" s="13" t="str">
        <f aca="false">IF(ROW()-ROW($A$22)&lt;=($D$9),ROW()-ROW($A$22),"")</f>
        <v/>
      </c>
      <c r="B253" s="14" t="str">
        <f aca="false">IF(A253="","",$D$6)</f>
        <v/>
      </c>
      <c r="C253" s="14" t="str">
        <f aca="false">IF(A253="","",E252*$D$7)</f>
        <v/>
      </c>
      <c r="D253" s="14" t="str">
        <f aca="false">IF(A253="","",D252+C253)</f>
        <v/>
      </c>
      <c r="E253" s="14" t="str">
        <f aca="false">IF(A253="","",(E252+B253)*(1+$D$8)+C253*$D$10)</f>
        <v/>
      </c>
    </row>
    <row r="254" customFormat="false" ht="15" hidden="false" customHeight="false" outlineLevel="0" collapsed="false">
      <c r="A254" s="13" t="str">
        <f aca="false">IF(ROW()-ROW($A$22)&lt;=($D$9),ROW()-ROW($A$22),"")</f>
        <v/>
      </c>
      <c r="B254" s="14" t="str">
        <f aca="false">IF(A254="","",$D$6)</f>
        <v/>
      </c>
      <c r="C254" s="14" t="str">
        <f aca="false">IF(A254="","",E253*$D$7)</f>
        <v/>
      </c>
      <c r="D254" s="14" t="str">
        <f aca="false">IF(A254="","",D253+C254)</f>
        <v/>
      </c>
      <c r="E254" s="14" t="str">
        <f aca="false">IF(A254="","",(E253+B254)*(1+$D$8)+C254*$D$10)</f>
        <v/>
      </c>
    </row>
    <row r="255" customFormat="false" ht="15" hidden="false" customHeight="false" outlineLevel="0" collapsed="false">
      <c r="A255" s="13" t="str">
        <f aca="false">IF(ROW()-ROW($A$22)&lt;=($D$9),ROW()-ROW($A$22),"")</f>
        <v/>
      </c>
      <c r="B255" s="14" t="str">
        <f aca="false">IF(A255="","",$D$6)</f>
        <v/>
      </c>
      <c r="C255" s="14" t="str">
        <f aca="false">IF(A255="","",E254*$D$7)</f>
        <v/>
      </c>
      <c r="D255" s="14" t="str">
        <f aca="false">IF(A255="","",D254+C255)</f>
        <v/>
      </c>
      <c r="E255" s="14" t="str">
        <f aca="false">IF(A255="","",(E254+B255)*(1+$D$8)+C255*$D$10)</f>
        <v/>
      </c>
    </row>
    <row r="256" customFormat="false" ht="15" hidden="false" customHeight="false" outlineLevel="0" collapsed="false">
      <c r="A256" s="13" t="str">
        <f aca="false">IF(ROW()-ROW($A$22)&lt;=($D$9),ROW()-ROW($A$22),"")</f>
        <v/>
      </c>
      <c r="B256" s="14" t="str">
        <f aca="false">IF(A256="","",$D$6)</f>
        <v/>
      </c>
      <c r="C256" s="14" t="str">
        <f aca="false">IF(A256="","",E255*$D$7)</f>
        <v/>
      </c>
      <c r="D256" s="14" t="str">
        <f aca="false">IF(A256="","",D255+C256)</f>
        <v/>
      </c>
      <c r="E256" s="14" t="str">
        <f aca="false">IF(A256="","",(E255+B256)*(1+$D$8)+C256*$D$10)</f>
        <v/>
      </c>
    </row>
    <row r="257" customFormat="false" ht="15" hidden="false" customHeight="false" outlineLevel="0" collapsed="false">
      <c r="A257" s="13" t="str">
        <f aca="false">IF(ROW()-ROW($A$22)&lt;=($D$9),ROW()-ROW($A$22),"")</f>
        <v/>
      </c>
      <c r="B257" s="14" t="str">
        <f aca="false">IF(A257="","",$D$6)</f>
        <v/>
      </c>
      <c r="C257" s="14" t="str">
        <f aca="false">IF(A257="","",E256*$D$7)</f>
        <v/>
      </c>
      <c r="D257" s="14" t="str">
        <f aca="false">IF(A257="","",D256+C257)</f>
        <v/>
      </c>
      <c r="E257" s="14" t="str">
        <f aca="false">IF(A257="","",(E256+B257)*(1+$D$8)+C257*$D$10)</f>
        <v/>
      </c>
    </row>
    <row r="258" customFormat="false" ht="15" hidden="false" customHeight="false" outlineLevel="0" collapsed="false">
      <c r="A258" s="13" t="str">
        <f aca="false">IF(ROW()-ROW($A$22)&lt;=($D$9),ROW()-ROW($A$22),"")</f>
        <v/>
      </c>
      <c r="B258" s="14" t="str">
        <f aca="false">IF(A258="","",$D$6)</f>
        <v/>
      </c>
      <c r="C258" s="14" t="str">
        <f aca="false">IF(A258="","",E257*$D$7)</f>
        <v/>
      </c>
      <c r="D258" s="14" t="str">
        <f aca="false">IF(A258="","",D257+C258)</f>
        <v/>
      </c>
      <c r="E258" s="14" t="str">
        <f aca="false">IF(A258="","",(E257+B258)*(1+$D$8)+C258*$D$10)</f>
        <v/>
      </c>
    </row>
    <row r="259" customFormat="false" ht="15" hidden="false" customHeight="false" outlineLevel="0" collapsed="false">
      <c r="A259" s="13" t="str">
        <f aca="false">IF(ROW()-ROW($A$22)&lt;=($D$9),ROW()-ROW($A$22),"")</f>
        <v/>
      </c>
      <c r="B259" s="14" t="str">
        <f aca="false">IF(A259="","",$D$6)</f>
        <v/>
      </c>
      <c r="C259" s="14" t="str">
        <f aca="false">IF(A259="","",E258*$D$7)</f>
        <v/>
      </c>
      <c r="D259" s="14" t="str">
        <f aca="false">IF(A259="","",D258+C259)</f>
        <v/>
      </c>
      <c r="E259" s="14" t="str">
        <f aca="false">IF(A259="","",(E258+B259)*(1+$D$8)+C259*$D$10)</f>
        <v/>
      </c>
    </row>
    <row r="260" customFormat="false" ht="15" hidden="false" customHeight="false" outlineLevel="0" collapsed="false">
      <c r="A260" s="13" t="str">
        <f aca="false">IF(ROW()-ROW($A$22)&lt;=($D$9),ROW()-ROW($A$22),"")</f>
        <v/>
      </c>
      <c r="B260" s="14" t="str">
        <f aca="false">IF(A260="","",$D$6)</f>
        <v/>
      </c>
      <c r="C260" s="14" t="str">
        <f aca="false">IF(A260="","",E259*$D$7)</f>
        <v/>
      </c>
      <c r="D260" s="14" t="str">
        <f aca="false">IF(A260="","",D259+C260)</f>
        <v/>
      </c>
      <c r="E260" s="14" t="str">
        <f aca="false">IF(A260="","",(E259+B260)*(1+$D$8)+C260*$D$10)</f>
        <v/>
      </c>
    </row>
    <row r="261" customFormat="false" ht="15" hidden="false" customHeight="false" outlineLevel="0" collapsed="false">
      <c r="A261" s="13" t="str">
        <f aca="false">IF(ROW()-ROW($A$22)&lt;=($D$9),ROW()-ROW($A$22),"")</f>
        <v/>
      </c>
      <c r="B261" s="14" t="str">
        <f aca="false">IF(A261="","",$D$6)</f>
        <v/>
      </c>
      <c r="C261" s="14" t="str">
        <f aca="false">IF(A261="","",E260*$D$7)</f>
        <v/>
      </c>
      <c r="D261" s="14" t="str">
        <f aca="false">IF(A261="","",D260+C261)</f>
        <v/>
      </c>
      <c r="E261" s="14" t="str">
        <f aca="false">IF(A261="","",(E260+B261)*(1+$D$8)+C261*$D$10)</f>
        <v/>
      </c>
    </row>
    <row r="262" customFormat="false" ht="15" hidden="false" customHeight="false" outlineLevel="0" collapsed="false">
      <c r="A262" s="13" t="str">
        <f aca="false">IF(ROW()-ROW($A$22)&lt;=($D$9),ROW()-ROW($A$22),"")</f>
        <v/>
      </c>
      <c r="B262" s="14" t="str">
        <f aca="false">IF(A262="","",$D$6)</f>
        <v/>
      </c>
      <c r="C262" s="14" t="str">
        <f aca="false">IF(A262="","",E261*$D$7)</f>
        <v/>
      </c>
      <c r="D262" s="14" t="str">
        <f aca="false">IF(A262="","",D261+C262)</f>
        <v/>
      </c>
      <c r="E262" s="14" t="str">
        <f aca="false">IF(A262="","",(E261+B262)*(1+$D$8)+C262*$D$10)</f>
        <v/>
      </c>
    </row>
    <row r="263" customFormat="false" ht="15" hidden="false" customHeight="false" outlineLevel="0" collapsed="false">
      <c r="A263" s="13" t="str">
        <f aca="false">IF(ROW()-ROW($A$22)&lt;=($D$9),ROW()-ROW($A$22),"")</f>
        <v/>
      </c>
      <c r="B263" s="14" t="str">
        <f aca="false">IF(A263="","",$D$6)</f>
        <v/>
      </c>
      <c r="C263" s="14" t="str">
        <f aca="false">IF(A263="","",E262*$D$7)</f>
        <v/>
      </c>
      <c r="D263" s="14" t="str">
        <f aca="false">IF(A263="","",D262+C263)</f>
        <v/>
      </c>
      <c r="E263" s="14" t="str">
        <f aca="false">IF(A263="","",(E262+B263)*(1+$D$8)+C263*$D$10)</f>
        <v/>
      </c>
    </row>
    <row r="264" customFormat="false" ht="15" hidden="false" customHeight="false" outlineLevel="0" collapsed="false">
      <c r="A264" s="13" t="str">
        <f aca="false">IF(ROW()-ROW($A$22)&lt;=($D$9),ROW()-ROW($A$22),"")</f>
        <v/>
      </c>
      <c r="B264" s="14" t="str">
        <f aca="false">IF(A264="","",$D$6)</f>
        <v/>
      </c>
      <c r="C264" s="14" t="str">
        <f aca="false">IF(A264="","",E263*$D$7)</f>
        <v/>
      </c>
      <c r="D264" s="14" t="str">
        <f aca="false">IF(A264="","",D263+C264)</f>
        <v/>
      </c>
      <c r="E264" s="14" t="str">
        <f aca="false">IF(A264="","",(E263+B264)*(1+$D$8)+C264*$D$10)</f>
        <v/>
      </c>
    </row>
    <row r="265" customFormat="false" ht="15" hidden="false" customHeight="false" outlineLevel="0" collapsed="false">
      <c r="A265" s="13" t="str">
        <f aca="false">IF(ROW()-ROW($A$22)&lt;=($D$9),ROW()-ROW($A$22),"")</f>
        <v/>
      </c>
      <c r="B265" s="14" t="str">
        <f aca="false">IF(A265="","",$D$6)</f>
        <v/>
      </c>
      <c r="C265" s="14" t="str">
        <f aca="false">IF(A265="","",E264*$D$7)</f>
        <v/>
      </c>
      <c r="D265" s="14" t="str">
        <f aca="false">IF(A265="","",D264+C265)</f>
        <v/>
      </c>
      <c r="E265" s="14" t="str">
        <f aca="false">IF(A265="","",(E264+B265)*(1+$D$8)+C265*$D$10)</f>
        <v/>
      </c>
    </row>
    <row r="266" customFormat="false" ht="15" hidden="false" customHeight="false" outlineLevel="0" collapsed="false">
      <c r="A266" s="13" t="str">
        <f aca="false">IF(ROW()-ROW($A$22)&lt;=($D$9),ROW()-ROW($A$22),"")</f>
        <v/>
      </c>
      <c r="B266" s="14" t="str">
        <f aca="false">IF(A266="","",$D$6)</f>
        <v/>
      </c>
      <c r="C266" s="14" t="str">
        <f aca="false">IF(A266="","",E265*$D$7)</f>
        <v/>
      </c>
      <c r="D266" s="14" t="str">
        <f aca="false">IF(A266="","",D265+C266)</f>
        <v/>
      </c>
      <c r="E266" s="14" t="str">
        <f aca="false">IF(A266="","",(E265+B266)*(1+$D$8)+C266*$D$10)</f>
        <v/>
      </c>
    </row>
    <row r="267" customFormat="false" ht="15" hidden="false" customHeight="false" outlineLevel="0" collapsed="false">
      <c r="A267" s="13" t="str">
        <f aca="false">IF(ROW()-ROW($A$22)&lt;=($D$9),ROW()-ROW($A$22),"")</f>
        <v/>
      </c>
      <c r="B267" s="14" t="str">
        <f aca="false">IF(A267="","",$D$6)</f>
        <v/>
      </c>
      <c r="C267" s="14" t="str">
        <f aca="false">IF(A267="","",E266*$D$7)</f>
        <v/>
      </c>
      <c r="D267" s="14" t="str">
        <f aca="false">IF(A267="","",D266+C267)</f>
        <v/>
      </c>
      <c r="E267" s="14" t="str">
        <f aca="false">IF(A267="","",(E266+B267)*(1+$D$8)+C267*$D$10)</f>
        <v/>
      </c>
    </row>
    <row r="268" customFormat="false" ht="15" hidden="false" customHeight="false" outlineLevel="0" collapsed="false">
      <c r="A268" s="13" t="str">
        <f aca="false">IF(ROW()-ROW($A$22)&lt;=($D$9),ROW()-ROW($A$22),"")</f>
        <v/>
      </c>
      <c r="B268" s="14" t="str">
        <f aca="false">IF(A268="","",$D$6)</f>
        <v/>
      </c>
      <c r="C268" s="14" t="str">
        <f aca="false">IF(A268="","",E267*$D$7)</f>
        <v/>
      </c>
      <c r="D268" s="14" t="str">
        <f aca="false">IF(A268="","",D267+C268)</f>
        <v/>
      </c>
      <c r="E268" s="14" t="str">
        <f aca="false">IF(A268="","",(E267+B268)*(1+$D$8)+C268*$D$10)</f>
        <v/>
      </c>
    </row>
    <row r="269" customFormat="false" ht="15" hidden="false" customHeight="false" outlineLevel="0" collapsed="false">
      <c r="A269" s="13" t="str">
        <f aca="false">IF(ROW()-ROW($A$22)&lt;=($D$9),ROW()-ROW($A$22),"")</f>
        <v/>
      </c>
      <c r="B269" s="14" t="str">
        <f aca="false">IF(A269="","",$D$6)</f>
        <v/>
      </c>
      <c r="C269" s="14" t="str">
        <f aca="false">IF(A269="","",E268*$D$7)</f>
        <v/>
      </c>
      <c r="D269" s="14" t="str">
        <f aca="false">IF(A269="","",D268+C269)</f>
        <v/>
      </c>
      <c r="E269" s="14" t="str">
        <f aca="false">IF(A269="","",(E268+B269)*(1+$D$8)+C269*$D$10)</f>
        <v/>
      </c>
    </row>
    <row r="270" customFormat="false" ht="15" hidden="false" customHeight="false" outlineLevel="0" collapsed="false">
      <c r="A270" s="13" t="str">
        <f aca="false">IF(ROW()-ROW($A$22)&lt;=($D$9),ROW()-ROW($A$22),"")</f>
        <v/>
      </c>
      <c r="B270" s="14" t="str">
        <f aca="false">IF(A270="","",$D$6)</f>
        <v/>
      </c>
      <c r="C270" s="14" t="str">
        <f aca="false">IF(A270="","",E269*$D$7)</f>
        <v/>
      </c>
      <c r="D270" s="14" t="str">
        <f aca="false">IF(A270="","",D269+C270)</f>
        <v/>
      </c>
      <c r="E270" s="14" t="str">
        <f aca="false">IF(A270="","",(E269+B270)*(1+$D$8)+C270*$D$10)</f>
        <v/>
      </c>
    </row>
    <row r="271" customFormat="false" ht="15" hidden="false" customHeight="false" outlineLevel="0" collapsed="false">
      <c r="A271" s="13" t="str">
        <f aca="false">IF(ROW()-ROW($A$22)&lt;=($D$9),ROW()-ROW($A$22),"")</f>
        <v/>
      </c>
      <c r="B271" s="14" t="str">
        <f aca="false">IF(A271="","",$D$6)</f>
        <v/>
      </c>
      <c r="C271" s="14" t="str">
        <f aca="false">IF(A271="","",E270*$D$7)</f>
        <v/>
      </c>
      <c r="D271" s="14" t="str">
        <f aca="false">IF(A271="","",D270+C271)</f>
        <v/>
      </c>
      <c r="E271" s="14" t="str">
        <f aca="false">IF(A271="","",(E270+B271)*(1+$D$8)+C271*$D$10)</f>
        <v/>
      </c>
    </row>
    <row r="272" customFormat="false" ht="15" hidden="false" customHeight="false" outlineLevel="0" collapsed="false">
      <c r="A272" s="13" t="str">
        <f aca="false">IF(ROW()-ROW($A$22)&lt;=($D$9),ROW()-ROW($A$22),"")</f>
        <v/>
      </c>
      <c r="B272" s="14" t="str">
        <f aca="false">IF(A272="","",$D$6)</f>
        <v/>
      </c>
      <c r="C272" s="14" t="str">
        <f aca="false">IF(A272="","",E271*$D$7)</f>
        <v/>
      </c>
      <c r="D272" s="14" t="str">
        <f aca="false">IF(A272="","",D271+C272)</f>
        <v/>
      </c>
      <c r="E272" s="14" t="str">
        <f aca="false">IF(A272="","",(E271+B272)*(1+$D$8)+C272*$D$10)</f>
        <v/>
      </c>
    </row>
    <row r="273" customFormat="false" ht="15" hidden="false" customHeight="false" outlineLevel="0" collapsed="false">
      <c r="A273" s="13" t="str">
        <f aca="false">IF(ROW()-ROW($A$22)&lt;=($D$9),ROW()-ROW($A$22),"")</f>
        <v/>
      </c>
      <c r="B273" s="14" t="str">
        <f aca="false">IF(A273="","",$D$6)</f>
        <v/>
      </c>
      <c r="C273" s="14" t="str">
        <f aca="false">IF(A273="","",E272*$D$7)</f>
        <v/>
      </c>
      <c r="D273" s="14" t="str">
        <f aca="false">IF(A273="","",D272+C273)</f>
        <v/>
      </c>
      <c r="E273" s="14" t="str">
        <f aca="false">IF(A273="","",(E272+B273)*(1+$D$8)+C273*$D$10)</f>
        <v/>
      </c>
    </row>
    <row r="274" customFormat="false" ht="15" hidden="false" customHeight="false" outlineLevel="0" collapsed="false">
      <c r="A274" s="13" t="str">
        <f aca="false">IF(ROW()-ROW($A$22)&lt;=($D$9),ROW()-ROW($A$22),"")</f>
        <v/>
      </c>
      <c r="B274" s="14" t="str">
        <f aca="false">IF(A274="","",$D$6)</f>
        <v/>
      </c>
      <c r="C274" s="14" t="str">
        <f aca="false">IF(A274="","",E273*$D$7)</f>
        <v/>
      </c>
      <c r="D274" s="14" t="str">
        <f aca="false">IF(A274="","",D273+C274)</f>
        <v/>
      </c>
      <c r="E274" s="14" t="str">
        <f aca="false">IF(A274="","",(E273+B274)*(1+$D$8)+C274*$D$10)</f>
        <v/>
      </c>
    </row>
    <row r="275" customFormat="false" ht="15" hidden="false" customHeight="false" outlineLevel="0" collapsed="false">
      <c r="A275" s="13" t="str">
        <f aca="false">IF(ROW()-ROW($A$22)&lt;=($D$9),ROW()-ROW($A$22),"")</f>
        <v/>
      </c>
      <c r="B275" s="14" t="str">
        <f aca="false">IF(A275="","",$D$6)</f>
        <v/>
      </c>
      <c r="C275" s="14" t="str">
        <f aca="false">IF(A275="","",E274*$D$7)</f>
        <v/>
      </c>
      <c r="D275" s="14" t="str">
        <f aca="false">IF(A275="","",D274+C275)</f>
        <v/>
      </c>
      <c r="E275" s="14" t="str">
        <f aca="false">IF(A275="","",(E274+B275)*(1+$D$8)+C275*$D$10)</f>
        <v/>
      </c>
    </row>
    <row r="276" customFormat="false" ht="15" hidden="false" customHeight="false" outlineLevel="0" collapsed="false">
      <c r="A276" s="13" t="str">
        <f aca="false">IF(ROW()-ROW($A$22)&lt;=($D$9),ROW()-ROW($A$22),"")</f>
        <v/>
      </c>
      <c r="B276" s="14" t="str">
        <f aca="false">IF(A276="","",$D$6)</f>
        <v/>
      </c>
      <c r="C276" s="14" t="str">
        <f aca="false">IF(A276="","",E275*$D$7)</f>
        <v/>
      </c>
      <c r="D276" s="14" t="str">
        <f aca="false">IF(A276="","",D275+C276)</f>
        <v/>
      </c>
      <c r="E276" s="14" t="str">
        <f aca="false">IF(A276="","",(E275+B276)*(1+$D$8)+C276*$D$10)</f>
        <v/>
      </c>
    </row>
    <row r="277" customFormat="false" ht="15" hidden="false" customHeight="false" outlineLevel="0" collapsed="false">
      <c r="A277" s="13" t="str">
        <f aca="false">IF(ROW()-ROW($A$22)&lt;=($D$9),ROW()-ROW($A$22),"")</f>
        <v/>
      </c>
      <c r="B277" s="14" t="str">
        <f aca="false">IF(A277="","",$D$6)</f>
        <v/>
      </c>
      <c r="C277" s="14" t="str">
        <f aca="false">IF(A277="","",E276*$D$7)</f>
        <v/>
      </c>
      <c r="D277" s="14" t="str">
        <f aca="false">IF(A277="","",D276+C277)</f>
        <v/>
      </c>
      <c r="E277" s="14" t="str">
        <f aca="false">IF(A277="","",(E276+B277)*(1+$D$8)+C277*$D$10)</f>
        <v/>
      </c>
    </row>
    <row r="278" customFormat="false" ht="15" hidden="false" customHeight="false" outlineLevel="0" collapsed="false">
      <c r="A278" s="13" t="str">
        <f aca="false">IF(ROW()-ROW($A$22)&lt;=($D$9),ROW()-ROW($A$22),"")</f>
        <v/>
      </c>
      <c r="B278" s="14" t="str">
        <f aca="false">IF(A278="","",$D$6)</f>
        <v/>
      </c>
      <c r="C278" s="14" t="str">
        <f aca="false">IF(A278="","",E277*$D$7)</f>
        <v/>
      </c>
      <c r="D278" s="14" t="str">
        <f aca="false">IF(A278="","",D277+C278)</f>
        <v/>
      </c>
      <c r="E278" s="14" t="str">
        <f aca="false">IF(A278="","",(E277+B278)*(1+$D$8)+C278*$D$10)</f>
        <v/>
      </c>
    </row>
    <row r="279" customFormat="false" ht="15" hidden="false" customHeight="false" outlineLevel="0" collapsed="false">
      <c r="A279" s="13" t="str">
        <f aca="false">IF(ROW()-ROW($A$22)&lt;=($D$9),ROW()-ROW($A$22),"")</f>
        <v/>
      </c>
      <c r="B279" s="14" t="str">
        <f aca="false">IF(A279="","",$D$6)</f>
        <v/>
      </c>
      <c r="C279" s="14" t="str">
        <f aca="false">IF(A279="","",E278*$D$7)</f>
        <v/>
      </c>
      <c r="D279" s="14" t="str">
        <f aca="false">IF(A279="","",D278+C279)</f>
        <v/>
      </c>
      <c r="E279" s="14" t="str">
        <f aca="false">IF(A279="","",(E278+B279)*(1+$D$8)+C279*$D$10)</f>
        <v/>
      </c>
    </row>
    <row r="280" customFormat="false" ht="15" hidden="false" customHeight="false" outlineLevel="0" collapsed="false">
      <c r="A280" s="13" t="str">
        <f aca="false">IF(ROW()-ROW($A$22)&lt;=($D$9),ROW()-ROW($A$22),"")</f>
        <v/>
      </c>
      <c r="B280" s="14" t="str">
        <f aca="false">IF(A280="","",$D$6)</f>
        <v/>
      </c>
      <c r="C280" s="14" t="str">
        <f aca="false">IF(A280="","",E279*$D$7)</f>
        <v/>
      </c>
      <c r="D280" s="14" t="str">
        <f aca="false">IF(A280="","",D279+C280)</f>
        <v/>
      </c>
      <c r="E280" s="14" t="str">
        <f aca="false">IF(A280="","",(E279+B280)*(1+$D$8)+C280*$D$10)</f>
        <v/>
      </c>
    </row>
    <row r="281" customFormat="false" ht="15" hidden="false" customHeight="false" outlineLevel="0" collapsed="false">
      <c r="A281" s="13" t="str">
        <f aca="false">IF(ROW()-ROW($A$22)&lt;=($D$9),ROW()-ROW($A$22),"")</f>
        <v/>
      </c>
      <c r="B281" s="14" t="str">
        <f aca="false">IF(A281="","",$D$6)</f>
        <v/>
      </c>
      <c r="C281" s="14" t="str">
        <f aca="false">IF(A281="","",E280*$D$7)</f>
        <v/>
      </c>
      <c r="D281" s="14" t="str">
        <f aca="false">IF(A281="","",D280+C281)</f>
        <v/>
      </c>
      <c r="E281" s="14" t="str">
        <f aca="false">IF(A281="","",(E280+B281)*(1+$D$8)+C281*$D$10)</f>
        <v/>
      </c>
    </row>
    <row r="282" customFormat="false" ht="15" hidden="false" customHeight="false" outlineLevel="0" collapsed="false">
      <c r="A282" s="13" t="str">
        <f aca="false">IF(ROW()-ROW($A$22)&lt;=($D$9),ROW()-ROW($A$22),"")</f>
        <v/>
      </c>
      <c r="B282" s="14" t="str">
        <f aca="false">IF(A282="","",$D$6)</f>
        <v/>
      </c>
      <c r="C282" s="14" t="str">
        <f aca="false">IF(A282="","",E281*$D$7)</f>
        <v/>
      </c>
      <c r="D282" s="14" t="str">
        <f aca="false">IF(A282="","",D281+C282)</f>
        <v/>
      </c>
      <c r="E282" s="14" t="str">
        <f aca="false">IF(A282="","",(E281+B282)*(1+$D$8)+C282*$D$10)</f>
        <v/>
      </c>
    </row>
    <row r="283" customFormat="false" ht="15" hidden="false" customHeight="false" outlineLevel="0" collapsed="false">
      <c r="A283" s="13" t="str">
        <f aca="false">IF(ROW()-ROW($A$22)&lt;=($D$9),ROW()-ROW($A$22),"")</f>
        <v/>
      </c>
      <c r="B283" s="14" t="str">
        <f aca="false">IF(A283="","",$D$6)</f>
        <v/>
      </c>
      <c r="C283" s="14" t="str">
        <f aca="false">IF(A283="","",E282*$D$7)</f>
        <v/>
      </c>
      <c r="D283" s="14" t="str">
        <f aca="false">IF(A283="","",D282+C283)</f>
        <v/>
      </c>
      <c r="E283" s="14" t="str">
        <f aca="false">IF(A283="","",(E282+B283)*(1+$D$8)+C283*$D$10)</f>
        <v/>
      </c>
    </row>
    <row r="284" customFormat="false" ht="15" hidden="false" customHeight="false" outlineLevel="0" collapsed="false">
      <c r="A284" s="13" t="str">
        <f aca="false">IF(ROW()-ROW($A$22)&lt;=($D$9),ROW()-ROW($A$22),"")</f>
        <v/>
      </c>
      <c r="B284" s="14" t="str">
        <f aca="false">IF(A284="","",$D$6)</f>
        <v/>
      </c>
      <c r="C284" s="14" t="str">
        <f aca="false">IF(A284="","",E283*$D$7)</f>
        <v/>
      </c>
      <c r="D284" s="14" t="str">
        <f aca="false">IF(A284="","",D283+C284)</f>
        <v/>
      </c>
      <c r="E284" s="14" t="str">
        <f aca="false">IF(A284="","",(E283+B284)*(1+$D$8)+C284*$D$10)</f>
        <v/>
      </c>
    </row>
    <row r="285" customFormat="false" ht="15" hidden="false" customHeight="false" outlineLevel="0" collapsed="false">
      <c r="A285" s="13" t="str">
        <f aca="false">IF(ROW()-ROW($A$22)&lt;=($D$9),ROW()-ROW($A$22),"")</f>
        <v/>
      </c>
      <c r="B285" s="14" t="str">
        <f aca="false">IF(A285="","",$D$6)</f>
        <v/>
      </c>
      <c r="C285" s="14" t="str">
        <f aca="false">IF(A285="","",E284*$D$7)</f>
        <v/>
      </c>
      <c r="D285" s="14" t="str">
        <f aca="false">IF(A285="","",D284+C285)</f>
        <v/>
      </c>
      <c r="E285" s="14" t="str">
        <f aca="false">IF(A285="","",(E284+B285)*(1+$D$8)+C285*$D$10)</f>
        <v/>
      </c>
    </row>
    <row r="286" customFormat="false" ht="15" hidden="false" customHeight="false" outlineLevel="0" collapsed="false">
      <c r="A286" s="13" t="str">
        <f aca="false">IF(ROW()-ROW($A$22)&lt;=($D$9),ROW()-ROW($A$22),"")</f>
        <v/>
      </c>
      <c r="B286" s="14" t="str">
        <f aca="false">IF(A286="","",$D$6)</f>
        <v/>
      </c>
      <c r="C286" s="14" t="str">
        <f aca="false">IF(A286="","",E285*$D$7)</f>
        <v/>
      </c>
      <c r="D286" s="14" t="str">
        <f aca="false">IF(A286="","",D285+C286)</f>
        <v/>
      </c>
      <c r="E286" s="14" t="str">
        <f aca="false">IF(A286="","",(E285+B286)*(1+$D$8)+C286*$D$10)</f>
        <v/>
      </c>
    </row>
    <row r="287" customFormat="false" ht="15" hidden="false" customHeight="false" outlineLevel="0" collapsed="false">
      <c r="A287" s="13" t="str">
        <f aca="false">IF(ROW()-ROW($A$22)&lt;=($D$9),ROW()-ROW($A$22),"")</f>
        <v/>
      </c>
      <c r="B287" s="14" t="str">
        <f aca="false">IF(A287="","",$D$6)</f>
        <v/>
      </c>
      <c r="C287" s="14" t="str">
        <f aca="false">IF(A287="","",E286*$D$7)</f>
        <v/>
      </c>
      <c r="D287" s="14" t="str">
        <f aca="false">IF(A287="","",D286+C287)</f>
        <v/>
      </c>
      <c r="E287" s="14" t="str">
        <f aca="false">IF(A287="","",(E286+B287)*(1+$D$8)+C287*$D$10)</f>
        <v/>
      </c>
    </row>
    <row r="288" customFormat="false" ht="15" hidden="false" customHeight="false" outlineLevel="0" collapsed="false">
      <c r="A288" s="13" t="str">
        <f aca="false">IF(ROW()-ROW($A$22)&lt;=($D$9),ROW()-ROW($A$22),"")</f>
        <v/>
      </c>
      <c r="B288" s="14" t="str">
        <f aca="false">IF(A288="","",$D$6)</f>
        <v/>
      </c>
      <c r="C288" s="14" t="str">
        <f aca="false">IF(A288="","",E287*$D$7)</f>
        <v/>
      </c>
      <c r="D288" s="14" t="str">
        <f aca="false">IF(A288="","",D287+C288)</f>
        <v/>
      </c>
      <c r="E288" s="14" t="str">
        <f aca="false">IF(A288="","",(E287+B288)*(1+$D$8)+C288*$D$10)</f>
        <v/>
      </c>
    </row>
    <row r="289" customFormat="false" ht="15" hidden="false" customHeight="false" outlineLevel="0" collapsed="false">
      <c r="A289" s="13" t="str">
        <f aca="false">IF(ROW()-ROW($A$22)&lt;=($D$9),ROW()-ROW($A$22),"")</f>
        <v/>
      </c>
      <c r="B289" s="14" t="str">
        <f aca="false">IF(A289="","",$D$6)</f>
        <v/>
      </c>
      <c r="C289" s="14" t="str">
        <f aca="false">IF(A289="","",E288*$D$7)</f>
        <v/>
      </c>
      <c r="D289" s="14" t="str">
        <f aca="false">IF(A289="","",D288+C289)</f>
        <v/>
      </c>
      <c r="E289" s="14" t="str">
        <f aca="false">IF(A289="","",(E288+B289)*(1+$D$8)+C289*$D$10)</f>
        <v/>
      </c>
    </row>
    <row r="290" customFormat="false" ht="15" hidden="false" customHeight="false" outlineLevel="0" collapsed="false">
      <c r="A290" s="13" t="str">
        <f aca="false">IF(ROW()-ROW($A$22)&lt;=($D$9),ROW()-ROW($A$22),"")</f>
        <v/>
      </c>
      <c r="B290" s="14" t="str">
        <f aca="false">IF(A290="","",$D$6)</f>
        <v/>
      </c>
      <c r="C290" s="14" t="str">
        <f aca="false">IF(A290="","",E289*$D$7)</f>
        <v/>
      </c>
      <c r="D290" s="14" t="str">
        <f aca="false">IF(A290="","",D289+C290)</f>
        <v/>
      </c>
      <c r="E290" s="14" t="str">
        <f aca="false">IF(A290="","",(E289+B290)*(1+$D$8)+C290*$D$10)</f>
        <v/>
      </c>
    </row>
    <row r="291" customFormat="false" ht="15" hidden="false" customHeight="false" outlineLevel="0" collapsed="false">
      <c r="A291" s="13" t="str">
        <f aca="false">IF(ROW()-ROW($A$22)&lt;=($D$9),ROW()-ROW($A$22),"")</f>
        <v/>
      </c>
      <c r="B291" s="14" t="str">
        <f aca="false">IF(A291="","",$D$6)</f>
        <v/>
      </c>
      <c r="C291" s="14" t="str">
        <f aca="false">IF(A291="","",E290*$D$7)</f>
        <v/>
      </c>
      <c r="D291" s="14" t="str">
        <f aca="false">IF(A291="","",D290+C291)</f>
        <v/>
      </c>
      <c r="E291" s="14" t="str">
        <f aca="false">IF(A291="","",(E290+B291)*(1+$D$8)+C291*$D$10)</f>
        <v/>
      </c>
    </row>
    <row r="292" customFormat="false" ht="15" hidden="false" customHeight="false" outlineLevel="0" collapsed="false">
      <c r="A292" s="13" t="str">
        <f aca="false">IF(ROW()-ROW($A$22)&lt;=($D$9),ROW()-ROW($A$22),"")</f>
        <v/>
      </c>
      <c r="B292" s="14" t="str">
        <f aca="false">IF(A292="","",$D$6)</f>
        <v/>
      </c>
      <c r="C292" s="14" t="str">
        <f aca="false">IF(A292="","",E291*$D$7)</f>
        <v/>
      </c>
      <c r="D292" s="14" t="str">
        <f aca="false">IF(A292="","",D291+C292)</f>
        <v/>
      </c>
      <c r="E292" s="14" t="str">
        <f aca="false">IF(A292="","",(E291+B292)*(1+$D$8)+C292*$D$10)</f>
        <v/>
      </c>
    </row>
    <row r="293" customFormat="false" ht="15" hidden="false" customHeight="false" outlineLevel="0" collapsed="false">
      <c r="A293" s="13" t="str">
        <f aca="false">IF(ROW()-ROW($A$22)&lt;=($D$9),ROW()-ROW($A$22),"")</f>
        <v/>
      </c>
      <c r="B293" s="14" t="str">
        <f aca="false">IF(A293="","",$D$6)</f>
        <v/>
      </c>
      <c r="C293" s="14" t="str">
        <f aca="false">IF(A293="","",E292*$D$7)</f>
        <v/>
      </c>
      <c r="D293" s="14" t="str">
        <f aca="false">IF(A293="","",D292+C293)</f>
        <v/>
      </c>
      <c r="E293" s="14" t="str">
        <f aca="false">IF(A293="","",(E292+B293)*(1+$D$8)+C293*$D$10)</f>
        <v/>
      </c>
    </row>
    <row r="294" customFormat="false" ht="15" hidden="false" customHeight="false" outlineLevel="0" collapsed="false">
      <c r="A294" s="13" t="str">
        <f aca="false">IF(ROW()-ROW($A$22)&lt;=($D$9),ROW()-ROW($A$22),"")</f>
        <v/>
      </c>
      <c r="B294" s="14" t="str">
        <f aca="false">IF(A294="","",$D$6)</f>
        <v/>
      </c>
      <c r="C294" s="14" t="str">
        <f aca="false">IF(A294="","",E293*$D$7)</f>
        <v/>
      </c>
      <c r="D294" s="14" t="str">
        <f aca="false">IF(A294="","",D293+C294)</f>
        <v/>
      </c>
      <c r="E294" s="14" t="str">
        <f aca="false">IF(A294="","",(E293+B294)*(1+$D$8)+C294*$D$10)</f>
        <v/>
      </c>
    </row>
    <row r="295" customFormat="false" ht="15" hidden="false" customHeight="false" outlineLevel="0" collapsed="false">
      <c r="A295" s="13" t="str">
        <f aca="false">IF(ROW()-ROW($A$22)&lt;=($D$9),ROW()-ROW($A$22),"")</f>
        <v/>
      </c>
      <c r="B295" s="14" t="str">
        <f aca="false">IF(A295="","",$D$6)</f>
        <v/>
      </c>
      <c r="C295" s="14" t="str">
        <f aca="false">IF(A295="","",E294*$D$7)</f>
        <v/>
      </c>
      <c r="D295" s="14" t="str">
        <f aca="false">IF(A295="","",D294+C295)</f>
        <v/>
      </c>
      <c r="E295" s="14" t="str">
        <f aca="false">IF(A295="","",(E294+B295)*(1+$D$8)+C295*$D$10)</f>
        <v/>
      </c>
    </row>
    <row r="296" customFormat="false" ht="15" hidden="false" customHeight="false" outlineLevel="0" collapsed="false">
      <c r="A296" s="13" t="str">
        <f aca="false">IF(ROW()-ROW($A$22)&lt;=($D$9),ROW()-ROW($A$22),"")</f>
        <v/>
      </c>
      <c r="B296" s="14" t="str">
        <f aca="false">IF(A296="","",$D$6)</f>
        <v/>
      </c>
      <c r="C296" s="14" t="str">
        <f aca="false">IF(A296="","",E295*$D$7)</f>
        <v/>
      </c>
      <c r="D296" s="14" t="str">
        <f aca="false">IF(A296="","",D295+C296)</f>
        <v/>
      </c>
      <c r="E296" s="14" t="str">
        <f aca="false">IF(A296="","",(E295+B296)*(1+$D$8)+C296*$D$10)</f>
        <v/>
      </c>
    </row>
    <row r="297" customFormat="false" ht="15" hidden="false" customHeight="false" outlineLevel="0" collapsed="false">
      <c r="A297" s="13" t="str">
        <f aca="false">IF(ROW()-ROW($A$22)&lt;=($D$9),ROW()-ROW($A$22),"")</f>
        <v/>
      </c>
      <c r="B297" s="14" t="str">
        <f aca="false">IF(A297="","",$D$6)</f>
        <v/>
      </c>
      <c r="C297" s="14" t="str">
        <f aca="false">IF(A297="","",E296*$D$7)</f>
        <v/>
      </c>
      <c r="D297" s="14" t="str">
        <f aca="false">IF(A297="","",D296+C297)</f>
        <v/>
      </c>
      <c r="E297" s="14" t="str">
        <f aca="false">IF(A297="","",(E296+B297)*(1+$D$8)+C297*$D$10)</f>
        <v/>
      </c>
    </row>
    <row r="298" customFormat="false" ht="15" hidden="false" customHeight="false" outlineLevel="0" collapsed="false">
      <c r="A298" s="13" t="str">
        <f aca="false">IF(ROW()-ROW($A$22)&lt;=($D$9),ROW()-ROW($A$22),"")</f>
        <v/>
      </c>
      <c r="B298" s="14" t="str">
        <f aca="false">IF(A298="","",$D$6)</f>
        <v/>
      </c>
      <c r="C298" s="14" t="str">
        <f aca="false">IF(A298="","",E297*$D$7)</f>
        <v/>
      </c>
      <c r="D298" s="14" t="str">
        <f aca="false">IF(A298="","",D297+C298)</f>
        <v/>
      </c>
      <c r="E298" s="14" t="str">
        <f aca="false">IF(A298="","",(E297+B298)*(1+$D$8)+C298*$D$10)</f>
        <v/>
      </c>
    </row>
    <row r="299" customFormat="false" ht="15" hidden="false" customHeight="false" outlineLevel="0" collapsed="false">
      <c r="A299" s="13" t="str">
        <f aca="false">IF(ROW()-ROW($A$22)&lt;=($D$9),ROW()-ROW($A$22),"")</f>
        <v/>
      </c>
      <c r="B299" s="14" t="str">
        <f aca="false">IF(A299="","",$D$6)</f>
        <v/>
      </c>
      <c r="C299" s="14" t="str">
        <f aca="false">IF(A299="","",E298*$D$7)</f>
        <v/>
      </c>
      <c r="D299" s="14" t="str">
        <f aca="false">IF(A299="","",D298+C299)</f>
        <v/>
      </c>
      <c r="E299" s="14" t="str">
        <f aca="false">IF(A299="","",(E298+B299)*(1+$D$8)+C299*$D$10)</f>
        <v/>
      </c>
    </row>
    <row r="300" customFormat="false" ht="15" hidden="false" customHeight="false" outlineLevel="0" collapsed="false">
      <c r="A300" s="13" t="str">
        <f aca="false">IF(ROW()-ROW($A$22)&lt;=($D$9),ROW()-ROW($A$22),"")</f>
        <v/>
      </c>
      <c r="B300" s="14" t="str">
        <f aca="false">IF(A300="","",$D$6)</f>
        <v/>
      </c>
      <c r="C300" s="14" t="str">
        <f aca="false">IF(A300="","",E299*$D$7)</f>
        <v/>
      </c>
      <c r="D300" s="14" t="str">
        <f aca="false">IF(A300="","",D299+C300)</f>
        <v/>
      </c>
      <c r="E300" s="14" t="str">
        <f aca="false">IF(A300="","",(E299+B300)*(1+$D$8)+C300*$D$10)</f>
        <v/>
      </c>
    </row>
    <row r="301" customFormat="false" ht="15" hidden="false" customHeight="false" outlineLevel="0" collapsed="false">
      <c r="A301" s="13" t="str">
        <f aca="false">IF(ROW()-ROW($A$22)&lt;=($D$9),ROW()-ROW($A$22),"")</f>
        <v/>
      </c>
      <c r="B301" s="14" t="str">
        <f aca="false">IF(A301="","",$D$6)</f>
        <v/>
      </c>
      <c r="C301" s="14" t="str">
        <f aca="false">IF(A301="","",E300*$D$7)</f>
        <v/>
      </c>
      <c r="D301" s="14" t="str">
        <f aca="false">IF(A301="","",D300+C301)</f>
        <v/>
      </c>
      <c r="E301" s="14" t="str">
        <f aca="false">IF(A301="","",(E300+B301)*(1+$D$8)+C301*$D$10)</f>
        <v/>
      </c>
    </row>
    <row r="302" customFormat="false" ht="15" hidden="false" customHeight="false" outlineLevel="0" collapsed="false">
      <c r="A302" s="13" t="str">
        <f aca="false">IF(ROW()-ROW($A$22)&lt;=($D$9),ROW()-ROW($A$22),"")</f>
        <v/>
      </c>
      <c r="B302" s="14" t="str">
        <f aca="false">IF(A302="","",$D$6)</f>
        <v/>
      </c>
      <c r="C302" s="14" t="str">
        <f aca="false">IF(A302="","",E301*$D$7)</f>
        <v/>
      </c>
      <c r="D302" s="14" t="str">
        <f aca="false">IF(A302="","",D301+C302)</f>
        <v/>
      </c>
      <c r="E302" s="14" t="str">
        <f aca="false">IF(A302="","",(E301+B302)*(1+$D$8)+C302*$D$10)</f>
        <v/>
      </c>
    </row>
    <row r="303" customFormat="false" ht="15" hidden="false" customHeight="false" outlineLevel="0" collapsed="false">
      <c r="A303" s="13" t="str">
        <f aca="false">IF(ROW()-ROW($A$22)&lt;=($D$9),ROW()-ROW($A$22),"")</f>
        <v/>
      </c>
      <c r="B303" s="14" t="str">
        <f aca="false">IF(A303="","",$D$6)</f>
        <v/>
      </c>
      <c r="C303" s="14" t="str">
        <f aca="false">IF(A303="","",E302*$D$7)</f>
        <v/>
      </c>
      <c r="D303" s="14" t="str">
        <f aca="false">IF(A303="","",D302+C303)</f>
        <v/>
      </c>
      <c r="E303" s="14" t="str">
        <f aca="false">IF(A303="","",(E302+B303)*(1+$D$8)+C303*$D$10)</f>
        <v/>
      </c>
    </row>
    <row r="304" customFormat="false" ht="15" hidden="false" customHeight="false" outlineLevel="0" collapsed="false">
      <c r="A304" s="13" t="str">
        <f aca="false">IF(ROW()-ROW($A$22)&lt;=($D$9),ROW()-ROW($A$22),"")</f>
        <v/>
      </c>
      <c r="B304" s="14" t="str">
        <f aca="false">IF(A304="","",$D$6)</f>
        <v/>
      </c>
      <c r="C304" s="14" t="str">
        <f aca="false">IF(A304="","",E303*$D$7)</f>
        <v/>
      </c>
      <c r="D304" s="14" t="str">
        <f aca="false">IF(A304="","",D303+C304)</f>
        <v/>
      </c>
      <c r="E304" s="14" t="str">
        <f aca="false">IF(A304="","",(E303+B304)*(1+$D$8)+C304*$D$10)</f>
        <v/>
      </c>
    </row>
    <row r="305" customFormat="false" ht="15" hidden="false" customHeight="false" outlineLevel="0" collapsed="false">
      <c r="A305" s="13" t="str">
        <f aca="false">IF(ROW()-ROW($A$22)&lt;=($D$9),ROW()-ROW($A$22),"")</f>
        <v/>
      </c>
      <c r="B305" s="14" t="str">
        <f aca="false">IF(A305="","",$D$6)</f>
        <v/>
      </c>
      <c r="C305" s="14" t="str">
        <f aca="false">IF(A305="","",E304*$D$7)</f>
        <v/>
      </c>
      <c r="D305" s="14" t="str">
        <f aca="false">IF(A305="","",D304+C305)</f>
        <v/>
      </c>
      <c r="E305" s="14" t="str">
        <f aca="false">IF(A305="","",(E304+B305)*(1+$D$8)+C305*$D$10)</f>
        <v/>
      </c>
    </row>
    <row r="306" customFormat="false" ht="15" hidden="false" customHeight="false" outlineLevel="0" collapsed="false">
      <c r="A306" s="13" t="str">
        <f aca="false">IF(ROW()-ROW($A$22)&lt;=($D$9),ROW()-ROW($A$22),"")</f>
        <v/>
      </c>
      <c r="B306" s="14" t="str">
        <f aca="false">IF(A306="","",$D$6)</f>
        <v/>
      </c>
      <c r="C306" s="14" t="str">
        <f aca="false">IF(A306="","",E305*$D$7)</f>
        <v/>
      </c>
      <c r="D306" s="14" t="str">
        <f aca="false">IF(A306="","",D305+C306)</f>
        <v/>
      </c>
      <c r="E306" s="14" t="str">
        <f aca="false">IF(A306="","",(E305+B306)*(1+$D$8)+C306*$D$10)</f>
        <v/>
      </c>
    </row>
    <row r="307" customFormat="false" ht="15" hidden="false" customHeight="false" outlineLevel="0" collapsed="false">
      <c r="A307" s="13" t="str">
        <f aca="false">IF(ROW()-ROW($A$22)&lt;=($D$9),ROW()-ROW($A$22),"")</f>
        <v/>
      </c>
      <c r="B307" s="14" t="str">
        <f aca="false">IF(A307="","",$D$6)</f>
        <v/>
      </c>
      <c r="C307" s="14" t="str">
        <f aca="false">IF(A307="","",E306*$D$7)</f>
        <v/>
      </c>
      <c r="D307" s="14" t="str">
        <f aca="false">IF(A307="","",D306+C307)</f>
        <v/>
      </c>
      <c r="E307" s="14" t="str">
        <f aca="false">IF(A307="","",(E306+B307)*(1+$D$8)+C307*$D$10)</f>
        <v/>
      </c>
    </row>
    <row r="308" customFormat="false" ht="15" hidden="false" customHeight="false" outlineLevel="0" collapsed="false">
      <c r="A308" s="13" t="str">
        <f aca="false">IF(ROW()-ROW($A$22)&lt;=($D$9),ROW()-ROW($A$22),"")</f>
        <v/>
      </c>
      <c r="B308" s="14" t="str">
        <f aca="false">IF(A308="","",$D$6)</f>
        <v/>
      </c>
      <c r="C308" s="14" t="str">
        <f aca="false">IF(A308="","",E307*$D$7)</f>
        <v/>
      </c>
      <c r="D308" s="14" t="str">
        <f aca="false">IF(A308="","",D307+C308)</f>
        <v/>
      </c>
      <c r="E308" s="14" t="str">
        <f aca="false">IF(A308="","",(E307+B308)*(1+$D$8)+C308*$D$10)</f>
        <v/>
      </c>
    </row>
    <row r="309" customFormat="false" ht="15" hidden="false" customHeight="false" outlineLevel="0" collapsed="false">
      <c r="A309" s="13" t="str">
        <f aca="false">IF(ROW()-ROW($A$22)&lt;=($D$9),ROW()-ROW($A$22),"")</f>
        <v/>
      </c>
      <c r="B309" s="14" t="str">
        <f aca="false">IF(A309="","",$D$6)</f>
        <v/>
      </c>
      <c r="C309" s="14" t="str">
        <f aca="false">IF(A309="","",E308*$D$7)</f>
        <v/>
      </c>
      <c r="D309" s="14" t="str">
        <f aca="false">IF(A309="","",D308+C309)</f>
        <v/>
      </c>
      <c r="E309" s="14" t="str">
        <f aca="false">IF(A309="","",(E308+B309)*(1+$D$8)+C309*$D$10)</f>
        <v/>
      </c>
    </row>
    <row r="310" customFormat="false" ht="15" hidden="false" customHeight="false" outlineLevel="0" collapsed="false">
      <c r="A310" s="13" t="str">
        <f aca="false">IF(ROW()-ROW($A$22)&lt;=($D$9),ROW()-ROW($A$22),"")</f>
        <v/>
      </c>
      <c r="B310" s="14" t="str">
        <f aca="false">IF(A310="","",$D$6)</f>
        <v/>
      </c>
      <c r="C310" s="14" t="str">
        <f aca="false">IF(A310="","",E309*$D$7)</f>
        <v/>
      </c>
      <c r="D310" s="14" t="str">
        <f aca="false">IF(A310="","",D309+C310)</f>
        <v/>
      </c>
      <c r="E310" s="14" t="str">
        <f aca="false">IF(A310="","",(E309+B310)*(1+$D$8)+C310*$D$10)</f>
        <v/>
      </c>
    </row>
    <row r="311" customFormat="false" ht="15" hidden="false" customHeight="false" outlineLevel="0" collapsed="false">
      <c r="A311" s="13" t="str">
        <f aca="false">IF(ROW()-ROW($A$22)&lt;=($D$9),ROW()-ROW($A$22),"")</f>
        <v/>
      </c>
      <c r="B311" s="14" t="str">
        <f aca="false">IF(A311="","",$D$6)</f>
        <v/>
      </c>
      <c r="C311" s="14" t="str">
        <f aca="false">IF(A311="","",E310*$D$7)</f>
        <v/>
      </c>
      <c r="D311" s="14" t="str">
        <f aca="false">IF(A311="","",D310+C311)</f>
        <v/>
      </c>
      <c r="E311" s="14" t="str">
        <f aca="false">IF(A311="","",(E310+B311)*(1+$D$8)+C311*$D$10)</f>
        <v/>
      </c>
    </row>
    <row r="312" customFormat="false" ht="15" hidden="false" customHeight="false" outlineLevel="0" collapsed="false">
      <c r="A312" s="13" t="str">
        <f aca="false">IF(ROW()-ROW($A$22)&lt;=($D$9),ROW()-ROW($A$22),"")</f>
        <v/>
      </c>
      <c r="B312" s="14" t="str">
        <f aca="false">IF(A312="","",$D$6)</f>
        <v/>
      </c>
      <c r="C312" s="14" t="str">
        <f aca="false">IF(A312="","",E311*$D$7)</f>
        <v/>
      </c>
      <c r="D312" s="14" t="str">
        <f aca="false">IF(A312="","",D311+C312)</f>
        <v/>
      </c>
      <c r="E312" s="14" t="str">
        <f aca="false">IF(A312="","",(E311+B312)*(1+$D$8)+C312*$D$10)</f>
        <v/>
      </c>
    </row>
    <row r="313" customFormat="false" ht="15" hidden="false" customHeight="false" outlineLevel="0" collapsed="false">
      <c r="A313" s="13" t="str">
        <f aca="false">IF(ROW()-ROW($A$22)&lt;=($D$9),ROW()-ROW($A$22),"")</f>
        <v/>
      </c>
      <c r="B313" s="14" t="str">
        <f aca="false">IF(A313="","",$D$6)</f>
        <v/>
      </c>
      <c r="C313" s="14" t="str">
        <f aca="false">IF(A313="","",E312*$D$7)</f>
        <v/>
      </c>
      <c r="D313" s="14" t="str">
        <f aca="false">IF(A313="","",D312+C313)</f>
        <v/>
      </c>
      <c r="E313" s="14" t="str">
        <f aca="false">IF(A313="","",(E312+B313)*(1+$D$8)+C313*$D$10)</f>
        <v/>
      </c>
    </row>
    <row r="314" customFormat="false" ht="15" hidden="false" customHeight="false" outlineLevel="0" collapsed="false">
      <c r="A314" s="13" t="str">
        <f aca="false">IF(ROW()-ROW($A$22)&lt;=($D$9),ROW()-ROW($A$22),"")</f>
        <v/>
      </c>
      <c r="B314" s="14" t="str">
        <f aca="false">IF(A314="","",$D$6)</f>
        <v/>
      </c>
      <c r="C314" s="14" t="str">
        <f aca="false">IF(A314="","",E313*$D$7)</f>
        <v/>
      </c>
      <c r="D314" s="14" t="str">
        <f aca="false">IF(A314="","",D313+C314)</f>
        <v/>
      </c>
      <c r="E314" s="14" t="str">
        <f aca="false">IF(A314="","",(E313+B314)*(1+$D$8)+C314*$D$10)</f>
        <v/>
      </c>
    </row>
    <row r="315" customFormat="false" ht="15" hidden="false" customHeight="false" outlineLevel="0" collapsed="false">
      <c r="A315" s="13" t="str">
        <f aca="false">IF(ROW()-ROW($A$22)&lt;=($D$9),ROW()-ROW($A$22),"")</f>
        <v/>
      </c>
      <c r="B315" s="14" t="str">
        <f aca="false">IF(A315="","",$D$6)</f>
        <v/>
      </c>
      <c r="C315" s="14" t="str">
        <f aca="false">IF(A315="","",E314*$D$7)</f>
        <v/>
      </c>
      <c r="D315" s="14" t="str">
        <f aca="false">IF(A315="","",D314+C315)</f>
        <v/>
      </c>
      <c r="E315" s="14" t="str">
        <f aca="false">IF(A315="","",(E314+B315)*(1+$D$8)+C315*$D$10)</f>
        <v/>
      </c>
    </row>
    <row r="316" customFormat="false" ht="15" hidden="false" customHeight="false" outlineLevel="0" collapsed="false">
      <c r="A316" s="13" t="str">
        <f aca="false">IF(ROW()-ROW($A$22)&lt;=($D$9),ROW()-ROW($A$22),"")</f>
        <v/>
      </c>
      <c r="B316" s="14" t="str">
        <f aca="false">IF(A316="","",$D$6)</f>
        <v/>
      </c>
      <c r="C316" s="14" t="str">
        <f aca="false">IF(A316="","",E315*$D$7)</f>
        <v/>
      </c>
      <c r="D316" s="14" t="str">
        <f aca="false">IF(A316="","",D315+C316)</f>
        <v/>
      </c>
      <c r="E316" s="14" t="str">
        <f aca="false">IF(A316="","",(E315+B316)*(1+$D$8)+C316*$D$10)</f>
        <v/>
      </c>
    </row>
    <row r="317" customFormat="false" ht="15" hidden="false" customHeight="false" outlineLevel="0" collapsed="false">
      <c r="A317" s="13" t="str">
        <f aca="false">IF(ROW()-ROW($A$22)&lt;=($D$9),ROW()-ROW($A$22),"")</f>
        <v/>
      </c>
      <c r="B317" s="14" t="str">
        <f aca="false">IF(A317="","",$D$6)</f>
        <v/>
      </c>
      <c r="C317" s="14" t="str">
        <f aca="false">IF(A317="","",E316*$D$7)</f>
        <v/>
      </c>
      <c r="D317" s="14" t="str">
        <f aca="false">IF(A317="","",D316+C317)</f>
        <v/>
      </c>
      <c r="E317" s="14" t="str">
        <f aca="false">IF(A317="","",(E316+B317)*(1+$D$8)+C317*$D$10)</f>
        <v/>
      </c>
    </row>
    <row r="318" customFormat="false" ht="15" hidden="false" customHeight="false" outlineLevel="0" collapsed="false">
      <c r="A318" s="13" t="str">
        <f aca="false">IF(ROW()-ROW($A$22)&lt;=($D$9),ROW()-ROW($A$22),"")</f>
        <v/>
      </c>
      <c r="B318" s="14" t="str">
        <f aca="false">IF(A318="","",$D$6)</f>
        <v/>
      </c>
      <c r="C318" s="14" t="str">
        <f aca="false">IF(A318="","",E317*$D$7)</f>
        <v/>
      </c>
      <c r="D318" s="14" t="str">
        <f aca="false">IF(A318="","",D317+C318)</f>
        <v/>
      </c>
      <c r="E318" s="14" t="str">
        <f aca="false">IF(A318="","",(E317+B318)*(1+$D$8)+C318*$D$10)</f>
        <v/>
      </c>
    </row>
    <row r="319" customFormat="false" ht="15" hidden="false" customHeight="false" outlineLevel="0" collapsed="false">
      <c r="A319" s="13" t="str">
        <f aca="false">IF(ROW()-ROW($A$22)&lt;=($D$9),ROW()-ROW($A$22),"")</f>
        <v/>
      </c>
      <c r="B319" s="14" t="str">
        <f aca="false">IF(A319="","",$D$6)</f>
        <v/>
      </c>
      <c r="C319" s="14" t="str">
        <f aca="false">IF(A319="","",E318*$D$7)</f>
        <v/>
      </c>
      <c r="D319" s="14" t="str">
        <f aca="false">IF(A319="","",D318+C319)</f>
        <v/>
      </c>
      <c r="E319" s="14" t="str">
        <f aca="false">IF(A319="","",(E318+B319)*(1+$D$8)+C319*$D$10)</f>
        <v/>
      </c>
    </row>
    <row r="320" customFormat="false" ht="15" hidden="false" customHeight="false" outlineLevel="0" collapsed="false">
      <c r="A320" s="13" t="str">
        <f aca="false">IF(ROW()-ROW($A$22)&lt;=($D$9),ROW()-ROW($A$22),"")</f>
        <v/>
      </c>
      <c r="B320" s="14" t="str">
        <f aca="false">IF(A320="","",$D$6)</f>
        <v/>
      </c>
      <c r="C320" s="14" t="str">
        <f aca="false">IF(A320="","",E319*$D$7)</f>
        <v/>
      </c>
      <c r="D320" s="14" t="str">
        <f aca="false">IF(A320="","",D319+C320)</f>
        <v/>
      </c>
      <c r="E320" s="14" t="str">
        <f aca="false">IF(A320="","",(E319+B320)*(1+$D$8)+C320*$D$10)</f>
        <v/>
      </c>
    </row>
    <row r="321" customFormat="false" ht="15" hidden="false" customHeight="false" outlineLevel="0" collapsed="false">
      <c r="A321" s="13" t="str">
        <f aca="false">IF(ROW()-ROW($A$22)&lt;=($D$9),ROW()-ROW($A$22),"")</f>
        <v/>
      </c>
      <c r="B321" s="14" t="str">
        <f aca="false">IF(A321="","",$D$6)</f>
        <v/>
      </c>
      <c r="C321" s="14" t="str">
        <f aca="false">IF(A321="","",E320*$D$7)</f>
        <v/>
      </c>
      <c r="D321" s="14" t="str">
        <f aca="false">IF(A321="","",D320+C321)</f>
        <v/>
      </c>
      <c r="E321" s="14" t="str">
        <f aca="false">IF(A321="","",(E320+B321)*(1+$D$8)+C321*$D$10)</f>
        <v/>
      </c>
    </row>
    <row r="322" customFormat="false" ht="15" hidden="false" customHeight="false" outlineLevel="0" collapsed="false">
      <c r="A322" s="13" t="str">
        <f aca="false">IF(ROW()-ROW($A$22)&lt;=($D$9),ROW()-ROW($A$22),"")</f>
        <v/>
      </c>
      <c r="B322" s="14" t="str">
        <f aca="false">IF(A322="","",$D$6)</f>
        <v/>
      </c>
      <c r="C322" s="14" t="str">
        <f aca="false">IF(A322="","",E321*$D$7)</f>
        <v/>
      </c>
      <c r="D322" s="14" t="str">
        <f aca="false">IF(A322="","",D321+C322)</f>
        <v/>
      </c>
      <c r="E322" s="14" t="str">
        <f aca="false">IF(A322="","",(E321+B322)*(1+$D$8)+C322*$D$10)</f>
        <v/>
      </c>
    </row>
    <row r="323" customFormat="false" ht="15" hidden="false" customHeight="false" outlineLevel="0" collapsed="false">
      <c r="A323" s="13" t="str">
        <f aca="false">IF(ROW()-ROW($A$22)&lt;=($D$9),ROW()-ROW($A$22),"")</f>
        <v/>
      </c>
      <c r="B323" s="14" t="str">
        <f aca="false">IF(A323="","",$D$6)</f>
        <v/>
      </c>
      <c r="C323" s="14" t="str">
        <f aca="false">IF(A323="","",E322*$D$7)</f>
        <v/>
      </c>
      <c r="D323" s="14" t="str">
        <f aca="false">IF(A323="","",D322+C323)</f>
        <v/>
      </c>
      <c r="E323" s="14" t="str">
        <f aca="false">IF(A323="","",(E322+B323)*(1+$D$8)+C323*$D$10)</f>
        <v/>
      </c>
    </row>
    <row r="324" customFormat="false" ht="15" hidden="false" customHeight="false" outlineLevel="0" collapsed="false">
      <c r="A324" s="13" t="str">
        <f aca="false">IF(ROW()-ROW($A$22)&lt;=($D$9),ROW()-ROW($A$22),"")</f>
        <v/>
      </c>
      <c r="B324" s="14" t="str">
        <f aca="false">IF(A324="","",$D$6)</f>
        <v/>
      </c>
      <c r="C324" s="14" t="str">
        <f aca="false">IF(A324="","",E323*$D$7)</f>
        <v/>
      </c>
      <c r="D324" s="14" t="str">
        <f aca="false">IF(A324="","",D323+C324)</f>
        <v/>
      </c>
      <c r="E324" s="14" t="str">
        <f aca="false">IF(A324="","",(E323+B324)*(1+$D$8)+C324*$D$10)</f>
        <v/>
      </c>
    </row>
    <row r="325" customFormat="false" ht="15" hidden="false" customHeight="false" outlineLevel="0" collapsed="false">
      <c r="A325" s="13" t="str">
        <f aca="false">IF(ROW()-ROW($A$22)&lt;=($D$9),ROW()-ROW($A$22),"")</f>
        <v/>
      </c>
      <c r="B325" s="14" t="str">
        <f aca="false">IF(A325="","",$D$6)</f>
        <v/>
      </c>
      <c r="C325" s="14" t="str">
        <f aca="false">IF(A325="","",E324*$D$7)</f>
        <v/>
      </c>
      <c r="D325" s="14" t="str">
        <f aca="false">IF(A325="","",D324+C325)</f>
        <v/>
      </c>
      <c r="E325" s="14" t="str">
        <f aca="false">IF(A325="","",(E324+B325)*(1+$D$8)+C325*$D$10)</f>
        <v/>
      </c>
    </row>
    <row r="326" customFormat="false" ht="15" hidden="false" customHeight="false" outlineLevel="0" collapsed="false">
      <c r="A326" s="13" t="str">
        <f aca="false">IF(ROW()-ROW($A$22)&lt;=($D$9),ROW()-ROW($A$22),"")</f>
        <v/>
      </c>
      <c r="B326" s="14" t="str">
        <f aca="false">IF(A326="","",$D$6)</f>
        <v/>
      </c>
      <c r="C326" s="14" t="str">
        <f aca="false">IF(A326="","",E325*$D$7)</f>
        <v/>
      </c>
      <c r="D326" s="14" t="str">
        <f aca="false">IF(A326="","",D325+C326)</f>
        <v/>
      </c>
      <c r="E326" s="14" t="str">
        <f aca="false">IF(A326="","",(E325+B326)*(1+$D$8)+C326*$D$10)</f>
        <v/>
      </c>
    </row>
    <row r="327" customFormat="false" ht="15" hidden="false" customHeight="false" outlineLevel="0" collapsed="false">
      <c r="A327" s="13" t="str">
        <f aca="false">IF(ROW()-ROW($A$22)&lt;=($D$9),ROW()-ROW($A$22),"")</f>
        <v/>
      </c>
      <c r="B327" s="14" t="str">
        <f aca="false">IF(A327="","",$D$6)</f>
        <v/>
      </c>
      <c r="C327" s="14" t="str">
        <f aca="false">IF(A327="","",E326*$D$7)</f>
        <v/>
      </c>
      <c r="D327" s="14" t="str">
        <f aca="false">IF(A327="","",D326+C327)</f>
        <v/>
      </c>
      <c r="E327" s="14" t="str">
        <f aca="false">IF(A327="","",(E326+B327)*(1+$D$8)+C327*$D$10)</f>
        <v/>
      </c>
    </row>
    <row r="328" customFormat="false" ht="15" hidden="false" customHeight="false" outlineLevel="0" collapsed="false">
      <c r="A328" s="13" t="str">
        <f aca="false">IF(ROW()-ROW($A$22)&lt;=($D$9),ROW()-ROW($A$22),"")</f>
        <v/>
      </c>
      <c r="B328" s="14" t="str">
        <f aca="false">IF(A328="","",$D$6)</f>
        <v/>
      </c>
      <c r="C328" s="14" t="str">
        <f aca="false">IF(A328="","",E327*$D$7)</f>
        <v/>
      </c>
      <c r="D328" s="14" t="str">
        <f aca="false">IF(A328="","",D327+C328)</f>
        <v/>
      </c>
      <c r="E328" s="14" t="str">
        <f aca="false">IF(A328="","",(E327+B328)*(1+$D$8)+C328*$D$10)</f>
        <v/>
      </c>
    </row>
    <row r="329" customFormat="false" ht="15" hidden="false" customHeight="false" outlineLevel="0" collapsed="false">
      <c r="A329" s="13" t="str">
        <f aca="false">IF(ROW()-ROW($A$22)&lt;=($D$9),ROW()-ROW($A$22),"")</f>
        <v/>
      </c>
      <c r="B329" s="14" t="str">
        <f aca="false">IF(A329="","",$D$6)</f>
        <v/>
      </c>
      <c r="C329" s="14" t="str">
        <f aca="false">IF(A329="","",E328*$D$7)</f>
        <v/>
      </c>
      <c r="D329" s="14" t="str">
        <f aca="false">IF(A329="","",D328+C329)</f>
        <v/>
      </c>
      <c r="E329" s="14" t="str">
        <f aca="false">IF(A329="","",(E328+B329)*(1+$D$8)+C329*$D$10)</f>
        <v/>
      </c>
    </row>
    <row r="330" customFormat="false" ht="15" hidden="false" customHeight="false" outlineLevel="0" collapsed="false">
      <c r="A330" s="13" t="str">
        <f aca="false">IF(ROW()-ROW($A$22)&lt;=($D$9),ROW()-ROW($A$22),"")</f>
        <v/>
      </c>
      <c r="B330" s="14" t="str">
        <f aca="false">IF(A330="","",$D$6)</f>
        <v/>
      </c>
      <c r="C330" s="14" t="str">
        <f aca="false">IF(A330="","",E329*$D$7)</f>
        <v/>
      </c>
      <c r="D330" s="14" t="str">
        <f aca="false">IF(A330="","",D329+C330)</f>
        <v/>
      </c>
      <c r="E330" s="14" t="str">
        <f aca="false">IF(A330="","",(E329+B330)*(1+$D$8)+C330*$D$10)</f>
        <v/>
      </c>
    </row>
    <row r="331" customFormat="false" ht="15" hidden="false" customHeight="false" outlineLevel="0" collapsed="false">
      <c r="A331" s="13" t="str">
        <f aca="false">IF(ROW()-ROW($A$22)&lt;=($D$9),ROW()-ROW($A$22),"")</f>
        <v/>
      </c>
      <c r="B331" s="14" t="str">
        <f aca="false">IF(A331="","",$D$6)</f>
        <v/>
      </c>
      <c r="C331" s="14" t="str">
        <f aca="false">IF(A331="","",E330*$D$7)</f>
        <v/>
      </c>
      <c r="D331" s="14" t="str">
        <f aca="false">IF(A331="","",D330+C331)</f>
        <v/>
      </c>
      <c r="E331" s="14" t="str">
        <f aca="false">IF(A331="","",(E330+B331)*(1+$D$8)+C331*$D$10)</f>
        <v/>
      </c>
    </row>
    <row r="332" customFormat="false" ht="15" hidden="false" customHeight="false" outlineLevel="0" collapsed="false">
      <c r="A332" s="13" t="str">
        <f aca="false">IF(ROW()-ROW($A$22)&lt;=($D$9),ROW()-ROW($A$22),"")</f>
        <v/>
      </c>
      <c r="B332" s="14" t="str">
        <f aca="false">IF(A332="","",$D$6)</f>
        <v/>
      </c>
      <c r="C332" s="14" t="str">
        <f aca="false">IF(A332="","",E331*$D$7)</f>
        <v/>
      </c>
      <c r="D332" s="14" t="str">
        <f aca="false">IF(A332="","",D331+C332)</f>
        <v/>
      </c>
      <c r="E332" s="14" t="str">
        <f aca="false">IF(A332="","",(E331+B332)*(1+$D$8)+C332*$D$10)</f>
        <v/>
      </c>
    </row>
    <row r="333" customFormat="false" ht="15" hidden="false" customHeight="false" outlineLevel="0" collapsed="false">
      <c r="A333" s="13" t="str">
        <f aca="false">IF(ROW()-ROW($A$22)&lt;=($D$9),ROW()-ROW($A$22),"")</f>
        <v/>
      </c>
      <c r="B333" s="14" t="str">
        <f aca="false">IF(A333="","",$D$6)</f>
        <v/>
      </c>
      <c r="C333" s="14" t="str">
        <f aca="false">IF(A333="","",E332*$D$7)</f>
        <v/>
      </c>
      <c r="D333" s="14" t="str">
        <f aca="false">IF(A333="","",D332+C333)</f>
        <v/>
      </c>
      <c r="E333" s="14" t="str">
        <f aca="false">IF(A333="","",(E332+B333)*(1+$D$8)+C333*$D$10)</f>
        <v/>
      </c>
    </row>
    <row r="334" customFormat="false" ht="15" hidden="false" customHeight="false" outlineLevel="0" collapsed="false">
      <c r="A334" s="13" t="str">
        <f aca="false">IF(ROW()-ROW($A$22)&lt;=($D$9),ROW()-ROW($A$22),"")</f>
        <v/>
      </c>
      <c r="B334" s="14" t="str">
        <f aca="false">IF(A334="","",$D$6)</f>
        <v/>
      </c>
      <c r="C334" s="14" t="str">
        <f aca="false">IF(A334="","",E333*$D$7)</f>
        <v/>
      </c>
      <c r="D334" s="14" t="str">
        <f aca="false">IF(A334="","",D333+C334)</f>
        <v/>
      </c>
      <c r="E334" s="14" t="str">
        <f aca="false">IF(A334="","",(E333+B334)*(1+$D$8)+C334*$D$10)</f>
        <v/>
      </c>
    </row>
    <row r="335" customFormat="false" ht="15" hidden="false" customHeight="false" outlineLevel="0" collapsed="false">
      <c r="A335" s="13" t="str">
        <f aca="false">IF(ROW()-ROW($A$22)&lt;=($D$9),ROW()-ROW($A$22),"")</f>
        <v/>
      </c>
      <c r="B335" s="14" t="str">
        <f aca="false">IF(A335="","",$D$6)</f>
        <v/>
      </c>
      <c r="C335" s="14" t="str">
        <f aca="false">IF(A335="","",E334*$D$7)</f>
        <v/>
      </c>
      <c r="D335" s="14" t="str">
        <f aca="false">IF(A335="","",D334+C335)</f>
        <v/>
      </c>
      <c r="E335" s="14" t="str">
        <f aca="false">IF(A335="","",(E334+B335)*(1+$D$8)+C335*$D$10)</f>
        <v/>
      </c>
    </row>
    <row r="336" customFormat="false" ht="15" hidden="false" customHeight="false" outlineLevel="0" collapsed="false">
      <c r="A336" s="13" t="str">
        <f aca="false">IF(ROW()-ROW($A$22)&lt;=($D$9),ROW()-ROW($A$22),"")</f>
        <v/>
      </c>
      <c r="B336" s="14" t="str">
        <f aca="false">IF(A336="","",$D$6)</f>
        <v/>
      </c>
      <c r="C336" s="14" t="str">
        <f aca="false">IF(A336="","",E335*$D$7)</f>
        <v/>
      </c>
      <c r="D336" s="14" t="str">
        <f aca="false">IF(A336="","",D335+C336)</f>
        <v/>
      </c>
      <c r="E336" s="14" t="str">
        <f aca="false">IF(A336="","",(E335+B336)*(1+$D$8)+C336*$D$10)</f>
        <v/>
      </c>
    </row>
    <row r="337" customFormat="false" ht="15" hidden="false" customHeight="false" outlineLevel="0" collapsed="false">
      <c r="A337" s="13" t="str">
        <f aca="false">IF(ROW()-ROW($A$22)&lt;=($D$9),ROW()-ROW($A$22),"")</f>
        <v/>
      </c>
      <c r="B337" s="14" t="str">
        <f aca="false">IF(A337="","",$D$6)</f>
        <v/>
      </c>
      <c r="C337" s="14" t="str">
        <f aca="false">IF(A337="","",E336*$D$7)</f>
        <v/>
      </c>
      <c r="D337" s="14" t="str">
        <f aca="false">IF(A337="","",D336+C337)</f>
        <v/>
      </c>
      <c r="E337" s="14" t="str">
        <f aca="false">IF(A337="","",(E336+B337)*(1+$D$8)+C337*$D$10)</f>
        <v/>
      </c>
    </row>
    <row r="338" customFormat="false" ht="15" hidden="false" customHeight="false" outlineLevel="0" collapsed="false">
      <c r="A338" s="13" t="str">
        <f aca="false">IF(ROW()-ROW($A$22)&lt;=($D$9),ROW()-ROW($A$22),"")</f>
        <v/>
      </c>
      <c r="B338" s="14" t="str">
        <f aca="false">IF(A338="","",$D$6)</f>
        <v/>
      </c>
      <c r="C338" s="14" t="str">
        <f aca="false">IF(A338="","",E337*$D$7)</f>
        <v/>
      </c>
      <c r="D338" s="14" t="str">
        <f aca="false">IF(A338="","",D337+C338)</f>
        <v/>
      </c>
      <c r="E338" s="14" t="str">
        <f aca="false">IF(A338="","",(E337+B338)*(1+$D$8)+C338*$D$10)</f>
        <v/>
      </c>
    </row>
    <row r="339" customFormat="false" ht="15" hidden="false" customHeight="false" outlineLevel="0" collapsed="false">
      <c r="A339" s="13" t="str">
        <f aca="false">IF(ROW()-ROW($A$22)&lt;=($D$9),ROW()-ROW($A$22),"")</f>
        <v/>
      </c>
      <c r="B339" s="14" t="str">
        <f aca="false">IF(A339="","",$D$6)</f>
        <v/>
      </c>
      <c r="C339" s="14" t="str">
        <f aca="false">IF(A339="","",E338*$D$7)</f>
        <v/>
      </c>
      <c r="D339" s="14" t="str">
        <f aca="false">IF(A339="","",D338+C339)</f>
        <v/>
      </c>
      <c r="E339" s="14" t="str">
        <f aca="false">IF(A339="","",(E338+B339)*(1+$D$8)+C339*$D$10)</f>
        <v/>
      </c>
    </row>
    <row r="340" customFormat="false" ht="15" hidden="false" customHeight="false" outlineLevel="0" collapsed="false">
      <c r="A340" s="13" t="str">
        <f aca="false">IF(ROW()-ROW($A$22)&lt;=($D$9),ROW()-ROW($A$22),"")</f>
        <v/>
      </c>
      <c r="B340" s="14" t="str">
        <f aca="false">IF(A340="","",$D$6)</f>
        <v/>
      </c>
      <c r="C340" s="14" t="str">
        <f aca="false">IF(A340="","",E339*$D$7)</f>
        <v/>
      </c>
      <c r="D340" s="14" t="str">
        <f aca="false">IF(A340="","",D339+C340)</f>
        <v/>
      </c>
      <c r="E340" s="14" t="str">
        <f aca="false">IF(A340="","",(E339+B340)*(1+$D$8)+C340*$D$10)</f>
        <v/>
      </c>
    </row>
    <row r="341" customFormat="false" ht="15" hidden="false" customHeight="false" outlineLevel="0" collapsed="false">
      <c r="A341" s="13" t="str">
        <f aca="false">IF(ROW()-ROW($A$22)&lt;=($D$9),ROW()-ROW($A$22),"")</f>
        <v/>
      </c>
      <c r="B341" s="14" t="str">
        <f aca="false">IF(A341="","",$D$6)</f>
        <v/>
      </c>
      <c r="C341" s="14" t="str">
        <f aca="false">IF(A341="","",E340*$D$7)</f>
        <v/>
      </c>
      <c r="D341" s="14" t="str">
        <f aca="false">IF(A341="","",D340+C341)</f>
        <v/>
      </c>
      <c r="E341" s="14" t="str">
        <f aca="false">IF(A341="","",(E340+B341)*(1+$D$8)+C341*$D$10)</f>
        <v/>
      </c>
    </row>
    <row r="342" customFormat="false" ht="15" hidden="false" customHeight="false" outlineLevel="0" collapsed="false">
      <c r="A342" s="13" t="str">
        <f aca="false">IF(ROW()-ROW($A$22)&lt;=($D$9),ROW()-ROW($A$22),"")</f>
        <v/>
      </c>
      <c r="B342" s="14" t="str">
        <f aca="false">IF(A342="","",$D$6)</f>
        <v/>
      </c>
      <c r="C342" s="14" t="str">
        <f aca="false">IF(A342="","",E341*$D$7)</f>
        <v/>
      </c>
      <c r="D342" s="14" t="str">
        <f aca="false">IF(A342="","",D341+C342)</f>
        <v/>
      </c>
      <c r="E342" s="14" t="str">
        <f aca="false">IF(A342="","",(E341+B342)*(1+$D$8)+C342*$D$10)</f>
        <v/>
      </c>
    </row>
    <row r="343" customFormat="false" ht="15" hidden="false" customHeight="false" outlineLevel="0" collapsed="false">
      <c r="A343" s="13" t="str">
        <f aca="false">IF(ROW()-ROW($A$22)&lt;=($D$9),ROW()-ROW($A$22),"")</f>
        <v/>
      </c>
      <c r="B343" s="14" t="str">
        <f aca="false">IF(A343="","",$D$6)</f>
        <v/>
      </c>
      <c r="C343" s="14" t="str">
        <f aca="false">IF(A343="","",E342*$D$7)</f>
        <v/>
      </c>
      <c r="D343" s="14" t="str">
        <f aca="false">IF(A343="","",D342+C343)</f>
        <v/>
      </c>
      <c r="E343" s="14" t="str">
        <f aca="false">IF(A343="","",(E342+B343)*(1+$D$8)+C343*$D$10)</f>
        <v/>
      </c>
    </row>
    <row r="344" customFormat="false" ht="15" hidden="false" customHeight="false" outlineLevel="0" collapsed="false">
      <c r="A344" s="13" t="str">
        <f aca="false">IF(ROW()-ROW($A$22)&lt;=($D$9),ROW()-ROW($A$22),"")</f>
        <v/>
      </c>
      <c r="B344" s="14" t="str">
        <f aca="false">IF(A344="","",$D$6)</f>
        <v/>
      </c>
      <c r="C344" s="14" t="str">
        <f aca="false">IF(A344="","",E343*$D$7)</f>
        <v/>
      </c>
      <c r="D344" s="14" t="str">
        <f aca="false">IF(A344="","",D343+C344)</f>
        <v/>
      </c>
      <c r="E344" s="14" t="str">
        <f aca="false">IF(A344="","",(E343+B344)*(1+$D$8)+C344*$D$10)</f>
        <v/>
      </c>
    </row>
    <row r="345" customFormat="false" ht="15" hidden="false" customHeight="false" outlineLevel="0" collapsed="false">
      <c r="A345" s="13" t="str">
        <f aca="false">IF(ROW()-ROW($A$22)&lt;=($D$9),ROW()-ROW($A$22),"")</f>
        <v/>
      </c>
      <c r="B345" s="14" t="str">
        <f aca="false">IF(A345="","",$D$6)</f>
        <v/>
      </c>
      <c r="C345" s="14" t="str">
        <f aca="false">IF(A345="","",E344*$D$7)</f>
        <v/>
      </c>
      <c r="D345" s="14" t="str">
        <f aca="false">IF(A345="","",D344+C345)</f>
        <v/>
      </c>
      <c r="E345" s="14" t="str">
        <f aca="false">IF(A345="","",(E344+B345)*(1+$D$8)+C345*$D$10)</f>
        <v/>
      </c>
    </row>
    <row r="346" customFormat="false" ht="15" hidden="false" customHeight="false" outlineLevel="0" collapsed="false">
      <c r="A346" s="13" t="str">
        <f aca="false">IF(ROW()-ROW($A$22)&lt;=($D$9),ROW()-ROW($A$22),"")</f>
        <v/>
      </c>
      <c r="B346" s="14" t="str">
        <f aca="false">IF(A346="","",$D$6)</f>
        <v/>
      </c>
      <c r="C346" s="14" t="str">
        <f aca="false">IF(A346="","",E345*$D$7)</f>
        <v/>
      </c>
      <c r="D346" s="14" t="str">
        <f aca="false">IF(A346="","",D345+C346)</f>
        <v/>
      </c>
      <c r="E346" s="14" t="str">
        <f aca="false">IF(A346="","",(E345+B346)*(1+$D$8)+C346*$D$10)</f>
        <v/>
      </c>
    </row>
    <row r="347" customFormat="false" ht="15" hidden="false" customHeight="false" outlineLevel="0" collapsed="false">
      <c r="A347" s="13" t="str">
        <f aca="false">IF(ROW()-ROW($A$22)&lt;=($D$9),ROW()-ROW($A$22),"")</f>
        <v/>
      </c>
      <c r="B347" s="14" t="str">
        <f aca="false">IF(A347="","",$D$6)</f>
        <v/>
      </c>
      <c r="C347" s="14" t="str">
        <f aca="false">IF(A347="","",E346*$D$7)</f>
        <v/>
      </c>
      <c r="D347" s="14" t="str">
        <f aca="false">IF(A347="","",D346+C347)</f>
        <v/>
      </c>
      <c r="E347" s="14" t="str">
        <f aca="false">IF(A347="","",(E346+B347)*(1+$D$8)+C347*$D$10)</f>
        <v/>
      </c>
    </row>
    <row r="348" customFormat="false" ht="15" hidden="false" customHeight="false" outlineLevel="0" collapsed="false">
      <c r="A348" s="13" t="str">
        <f aca="false">IF(ROW()-ROW($A$22)&lt;=($D$9),ROW()-ROW($A$22),"")</f>
        <v/>
      </c>
      <c r="B348" s="14" t="str">
        <f aca="false">IF(A348="","",$D$6)</f>
        <v/>
      </c>
      <c r="C348" s="14" t="str">
        <f aca="false">IF(A348="","",E347*$D$7)</f>
        <v/>
      </c>
      <c r="D348" s="14" t="str">
        <f aca="false">IF(A348="","",D347+C348)</f>
        <v/>
      </c>
      <c r="E348" s="14" t="str">
        <f aca="false">IF(A348="","",(E347+B348)*(1+$D$8)+C348*$D$10)</f>
        <v/>
      </c>
    </row>
    <row r="349" customFormat="false" ht="15" hidden="false" customHeight="false" outlineLevel="0" collapsed="false">
      <c r="A349" s="13" t="str">
        <f aca="false">IF(ROW()-ROW($A$22)&lt;=($D$9),ROW()-ROW($A$22),"")</f>
        <v/>
      </c>
      <c r="B349" s="14" t="str">
        <f aca="false">IF(A349="","",$D$6)</f>
        <v/>
      </c>
      <c r="C349" s="14" t="str">
        <f aca="false">IF(A349="","",E348*$D$7)</f>
        <v/>
      </c>
      <c r="D349" s="14" t="str">
        <f aca="false">IF(A349="","",D348+C349)</f>
        <v/>
      </c>
      <c r="E349" s="14" t="str">
        <f aca="false">IF(A349="","",(E348+B349)*(1+$D$8)+C349*$D$10)</f>
        <v/>
      </c>
    </row>
    <row r="350" customFormat="false" ht="15" hidden="false" customHeight="false" outlineLevel="0" collapsed="false">
      <c r="A350" s="13" t="str">
        <f aca="false">IF(ROW()-ROW($A$22)&lt;=($D$9),ROW()-ROW($A$22),"")</f>
        <v/>
      </c>
      <c r="B350" s="14" t="str">
        <f aca="false">IF(A350="","",$D$6)</f>
        <v/>
      </c>
      <c r="C350" s="14" t="str">
        <f aca="false">IF(A350="","",E349*$D$7)</f>
        <v/>
      </c>
      <c r="D350" s="14" t="str">
        <f aca="false">IF(A350="","",D349+C350)</f>
        <v/>
      </c>
      <c r="E350" s="14" t="str">
        <f aca="false">IF(A350="","",(E349+B350)*(1+$D$8)+C350*$D$10)</f>
        <v/>
      </c>
    </row>
    <row r="351" customFormat="false" ht="15" hidden="false" customHeight="false" outlineLevel="0" collapsed="false">
      <c r="A351" s="13" t="str">
        <f aca="false">IF(ROW()-ROW($A$22)&lt;=($D$9),ROW()-ROW($A$22),"")</f>
        <v/>
      </c>
      <c r="B351" s="14" t="str">
        <f aca="false">IF(A351="","",$D$6)</f>
        <v/>
      </c>
      <c r="C351" s="14" t="str">
        <f aca="false">IF(A351="","",E350*$D$7)</f>
        <v/>
      </c>
      <c r="D351" s="14" t="str">
        <f aca="false">IF(A351="","",D350+C351)</f>
        <v/>
      </c>
      <c r="E351" s="14" t="str">
        <f aca="false">IF(A351="","",(E350+B351)*(1+$D$8)+C351*$D$10)</f>
        <v/>
      </c>
    </row>
    <row r="352" customFormat="false" ht="15" hidden="false" customHeight="false" outlineLevel="0" collapsed="false">
      <c r="A352" s="13" t="str">
        <f aca="false">IF(ROW()-ROW($A$22)&lt;=($D$9),ROW()-ROW($A$22),"")</f>
        <v/>
      </c>
      <c r="B352" s="14" t="str">
        <f aca="false">IF(A352="","",$D$6)</f>
        <v/>
      </c>
      <c r="C352" s="14" t="str">
        <f aca="false">IF(A352="","",E351*$D$7)</f>
        <v/>
      </c>
      <c r="D352" s="14" t="str">
        <f aca="false">IF(A352="","",D351+C352)</f>
        <v/>
      </c>
      <c r="E352" s="14" t="str">
        <f aca="false">IF(A352="","",(E351+B352)*(1+$D$8)+C352*$D$10)</f>
        <v/>
      </c>
    </row>
    <row r="353" customFormat="false" ht="15" hidden="false" customHeight="false" outlineLevel="0" collapsed="false">
      <c r="A353" s="13" t="str">
        <f aca="false">IF(ROW()-ROW($A$22)&lt;=($D$9),ROW()-ROW($A$22),"")</f>
        <v/>
      </c>
      <c r="B353" s="14" t="str">
        <f aca="false">IF(A353="","",$D$6)</f>
        <v/>
      </c>
      <c r="C353" s="14" t="str">
        <f aca="false">IF(A353="","",E352*$D$7)</f>
        <v/>
      </c>
      <c r="D353" s="14" t="str">
        <f aca="false">IF(A353="","",D352+C353)</f>
        <v/>
      </c>
      <c r="E353" s="14" t="str">
        <f aca="false">IF(A353="","",(E352+B353)*(1+$D$8)+C353*$D$10)</f>
        <v/>
      </c>
    </row>
    <row r="354" customFormat="false" ht="15" hidden="false" customHeight="false" outlineLevel="0" collapsed="false">
      <c r="A354" s="13" t="str">
        <f aca="false">IF(ROW()-ROW($A$22)&lt;=($D$9),ROW()-ROW($A$22),"")</f>
        <v/>
      </c>
      <c r="B354" s="14" t="str">
        <f aca="false">IF(A354="","",$D$6)</f>
        <v/>
      </c>
      <c r="C354" s="14" t="str">
        <f aca="false">IF(A354="","",E353*$D$7)</f>
        <v/>
      </c>
      <c r="D354" s="14" t="str">
        <f aca="false">IF(A354="","",D353+C354)</f>
        <v/>
      </c>
      <c r="E354" s="14" t="str">
        <f aca="false">IF(A354="","",(E353+B354)*(1+$D$8)+C354*$D$10)</f>
        <v/>
      </c>
    </row>
    <row r="355" customFormat="false" ht="15" hidden="false" customHeight="false" outlineLevel="0" collapsed="false">
      <c r="A355" s="13" t="str">
        <f aca="false">IF(ROW()-ROW($A$22)&lt;=($D$9),ROW()-ROW($A$22),"")</f>
        <v/>
      </c>
      <c r="B355" s="14" t="str">
        <f aca="false">IF(A355="","",$D$6)</f>
        <v/>
      </c>
      <c r="C355" s="14" t="str">
        <f aca="false">IF(A355="","",E354*$D$7)</f>
        <v/>
      </c>
      <c r="D355" s="14" t="str">
        <f aca="false">IF(A355="","",D354+C355)</f>
        <v/>
      </c>
      <c r="E355" s="14" t="str">
        <f aca="false">IF(A355="","",(E354+B355)*(1+$D$8)+C355*$D$10)</f>
        <v/>
      </c>
    </row>
    <row r="356" customFormat="false" ht="15" hidden="false" customHeight="false" outlineLevel="0" collapsed="false">
      <c r="A356" s="13" t="str">
        <f aca="false">IF(ROW()-ROW($A$22)&lt;=($D$9),ROW()-ROW($A$22),"")</f>
        <v/>
      </c>
      <c r="B356" s="14" t="str">
        <f aca="false">IF(A356="","",$D$6)</f>
        <v/>
      </c>
      <c r="C356" s="14" t="str">
        <f aca="false">IF(A356="","",E355*$D$7)</f>
        <v/>
      </c>
      <c r="D356" s="14" t="str">
        <f aca="false">IF(A356="","",D355+C356)</f>
        <v/>
      </c>
      <c r="E356" s="14" t="str">
        <f aca="false">IF(A356="","",(E355+B356)*(1+$D$8)+C356*$D$10)</f>
        <v/>
      </c>
    </row>
    <row r="357" customFormat="false" ht="15" hidden="false" customHeight="false" outlineLevel="0" collapsed="false">
      <c r="A357" s="13" t="str">
        <f aca="false">IF(ROW()-ROW($A$22)&lt;=($D$9),ROW()-ROW($A$22),"")</f>
        <v/>
      </c>
      <c r="B357" s="14" t="str">
        <f aca="false">IF(A357="","",$D$6)</f>
        <v/>
      </c>
      <c r="C357" s="14" t="str">
        <f aca="false">IF(A357="","",E356*$D$7)</f>
        <v/>
      </c>
      <c r="D357" s="14" t="str">
        <f aca="false">IF(A357="","",D356+C357)</f>
        <v/>
      </c>
      <c r="E357" s="14" t="str">
        <f aca="false">IF(A357="","",(E356+B357)*(1+$D$8)+C357*$D$10)</f>
        <v/>
      </c>
    </row>
    <row r="358" customFormat="false" ht="15" hidden="false" customHeight="false" outlineLevel="0" collapsed="false">
      <c r="A358" s="13" t="str">
        <f aca="false">IF(ROW()-ROW($A$22)&lt;=($D$9),ROW()-ROW($A$22),"")</f>
        <v/>
      </c>
      <c r="B358" s="14" t="str">
        <f aca="false">IF(A358="","",$D$6)</f>
        <v/>
      </c>
      <c r="C358" s="14" t="str">
        <f aca="false">IF(A358="","",E357*$D$7)</f>
        <v/>
      </c>
      <c r="D358" s="14" t="str">
        <f aca="false">IF(A358="","",D357+C358)</f>
        <v/>
      </c>
      <c r="E358" s="14" t="str">
        <f aca="false">IF(A358="","",(E357+B358)*(1+$D$8)+C358*$D$10)</f>
        <v/>
      </c>
    </row>
    <row r="359" customFormat="false" ht="15" hidden="false" customHeight="false" outlineLevel="0" collapsed="false">
      <c r="A359" s="13" t="str">
        <f aca="false">IF(ROW()-ROW($A$22)&lt;=($D$9),ROW()-ROW($A$22),"")</f>
        <v/>
      </c>
      <c r="B359" s="14" t="str">
        <f aca="false">IF(A359="","",$D$6)</f>
        <v/>
      </c>
      <c r="C359" s="14" t="str">
        <f aca="false">IF(A359="","",E358*$D$7)</f>
        <v/>
      </c>
      <c r="D359" s="14" t="str">
        <f aca="false">IF(A359="","",D358+C359)</f>
        <v/>
      </c>
      <c r="E359" s="14" t="str">
        <f aca="false">IF(A359="","",(E358+B359)*(1+$D$8)+C359*$D$10)</f>
        <v/>
      </c>
    </row>
    <row r="360" customFormat="false" ht="15" hidden="false" customHeight="false" outlineLevel="0" collapsed="false">
      <c r="A360" s="13" t="str">
        <f aca="false">IF(ROW()-ROW($A$22)&lt;=($D$9),ROW()-ROW($A$22),"")</f>
        <v/>
      </c>
      <c r="B360" s="14" t="str">
        <f aca="false">IF(A360="","",$D$6)</f>
        <v/>
      </c>
      <c r="C360" s="14" t="str">
        <f aca="false">IF(A360="","",E359*$D$7)</f>
        <v/>
      </c>
      <c r="D360" s="14" t="str">
        <f aca="false">IF(A360="","",D359+C360)</f>
        <v/>
      </c>
      <c r="E360" s="14" t="str">
        <f aca="false">IF(A360="","",(E359+B360)*(1+$D$8)+C360*$D$10)</f>
        <v/>
      </c>
    </row>
    <row r="361" customFormat="false" ht="15" hidden="false" customHeight="false" outlineLevel="0" collapsed="false">
      <c r="A361" s="13" t="str">
        <f aca="false">IF(ROW()-ROW($A$22)&lt;=($D$9),ROW()-ROW($A$22),"")</f>
        <v/>
      </c>
      <c r="B361" s="14" t="str">
        <f aca="false">IF(A361="","",$D$6)</f>
        <v/>
      </c>
      <c r="C361" s="14" t="str">
        <f aca="false">IF(A361="","",E360*$D$7)</f>
        <v/>
      </c>
      <c r="D361" s="14" t="str">
        <f aca="false">IF(A361="","",D360+C361)</f>
        <v/>
      </c>
      <c r="E361" s="14" t="str">
        <f aca="false">IF(A361="","",(E360+B361)*(1+$D$8)+C361*$D$10)</f>
        <v/>
      </c>
    </row>
    <row r="362" customFormat="false" ht="15" hidden="false" customHeight="false" outlineLevel="0" collapsed="false">
      <c r="A362" s="13" t="str">
        <f aca="false">IF(ROW()-ROW($A$22)&lt;=($D$9),ROW()-ROW($A$22),"")</f>
        <v/>
      </c>
      <c r="B362" s="14" t="str">
        <f aca="false">IF(A362="","",$D$6)</f>
        <v/>
      </c>
      <c r="C362" s="14" t="str">
        <f aca="false">IF(A362="","",E361*$D$7)</f>
        <v/>
      </c>
      <c r="D362" s="14" t="str">
        <f aca="false">IF(A362="","",D361+C362)</f>
        <v/>
      </c>
      <c r="E362" s="14" t="str">
        <f aca="false">IF(A362="","",(E361+B362)*(1+$D$8)+C362*$D$10)</f>
        <v/>
      </c>
    </row>
    <row r="363" customFormat="false" ht="15" hidden="false" customHeight="false" outlineLevel="0" collapsed="false">
      <c r="A363" s="13" t="str">
        <f aca="false">IF(ROW()-ROW($A$22)&lt;=($D$9),ROW()-ROW($A$22),"")</f>
        <v/>
      </c>
      <c r="B363" s="14" t="str">
        <f aca="false">IF(A363="","",$D$6)</f>
        <v/>
      </c>
      <c r="C363" s="14" t="str">
        <f aca="false">IF(A363="","",E362*$D$7)</f>
        <v/>
      </c>
      <c r="D363" s="14" t="str">
        <f aca="false">IF(A363="","",D362+C363)</f>
        <v/>
      </c>
      <c r="E363" s="14" t="str">
        <f aca="false">IF(A363="","",(E362+B363)*(1+$D$8)+C363*$D$10)</f>
        <v/>
      </c>
    </row>
    <row r="364" customFormat="false" ht="15" hidden="false" customHeight="false" outlineLevel="0" collapsed="false">
      <c r="A364" s="13" t="str">
        <f aca="false">IF(ROW()-ROW($A$22)&lt;=($D$9),ROW()-ROW($A$22),"")</f>
        <v/>
      </c>
      <c r="B364" s="14" t="str">
        <f aca="false">IF(A364="","",$D$6)</f>
        <v/>
      </c>
      <c r="C364" s="14" t="str">
        <f aca="false">IF(A364="","",E363*$D$7)</f>
        <v/>
      </c>
      <c r="D364" s="14" t="str">
        <f aca="false">IF(A364="","",D363+C364)</f>
        <v/>
      </c>
      <c r="E364" s="14" t="str">
        <f aca="false">IF(A364="","",(E363+B364)*(1+$D$8)+C364*$D$10)</f>
        <v/>
      </c>
    </row>
    <row r="365" customFormat="false" ht="15" hidden="false" customHeight="false" outlineLevel="0" collapsed="false">
      <c r="A365" s="13" t="str">
        <f aca="false">IF(ROW()-ROW($A$22)&lt;=($D$9),ROW()-ROW($A$22),"")</f>
        <v/>
      </c>
      <c r="B365" s="14" t="str">
        <f aca="false">IF(A365="","",$D$6)</f>
        <v/>
      </c>
      <c r="C365" s="14" t="str">
        <f aca="false">IF(A365="","",E364*$D$7)</f>
        <v/>
      </c>
      <c r="D365" s="14" t="str">
        <f aca="false">IF(A365="","",D364+C365)</f>
        <v/>
      </c>
      <c r="E365" s="14" t="str">
        <f aca="false">IF(A365="","",(E364+B365)*(1+$D$8)+C365*$D$10)</f>
        <v/>
      </c>
    </row>
    <row r="366" customFormat="false" ht="15" hidden="false" customHeight="false" outlineLevel="0" collapsed="false">
      <c r="A366" s="13" t="str">
        <f aca="false">IF(ROW()-ROW($A$22)&lt;=($D$9),ROW()-ROW($A$22),"")</f>
        <v/>
      </c>
      <c r="B366" s="14" t="str">
        <f aca="false">IF(A366="","",$D$6)</f>
        <v/>
      </c>
      <c r="C366" s="14" t="str">
        <f aca="false">IF(A366="","",E365*$D$7)</f>
        <v/>
      </c>
      <c r="D366" s="14" t="str">
        <f aca="false">IF(A366="","",D365+C366)</f>
        <v/>
      </c>
      <c r="E366" s="14" t="str">
        <f aca="false">IF(A366="","",(E365+B366)*(1+$D$8)+C366*$D$10)</f>
        <v/>
      </c>
    </row>
    <row r="367" customFormat="false" ht="15" hidden="false" customHeight="false" outlineLevel="0" collapsed="false">
      <c r="A367" s="13" t="str">
        <f aca="false">IF(ROW()-ROW($A$22)&lt;=($D$9),ROW()-ROW($A$22),"")</f>
        <v/>
      </c>
      <c r="B367" s="14" t="str">
        <f aca="false">IF(A367="","",$D$6)</f>
        <v/>
      </c>
      <c r="C367" s="14" t="str">
        <f aca="false">IF(A367="","",E366*$D$7)</f>
        <v/>
      </c>
      <c r="D367" s="14" t="str">
        <f aca="false">IF(A367="","",D366+C367)</f>
        <v/>
      </c>
      <c r="E367" s="14" t="str">
        <f aca="false">IF(A367="","",(E366+B367)*(1+$D$8)+C367*$D$10)</f>
        <v/>
      </c>
    </row>
    <row r="368" customFormat="false" ht="15" hidden="false" customHeight="false" outlineLevel="0" collapsed="false">
      <c r="A368" s="13" t="str">
        <f aca="false">IF(ROW()-ROW($A$22)&lt;=($D$9),ROW()-ROW($A$22),"")</f>
        <v/>
      </c>
      <c r="B368" s="14" t="str">
        <f aca="false">IF(A368="","",$D$6)</f>
        <v/>
      </c>
      <c r="C368" s="14" t="str">
        <f aca="false">IF(A368="","",E367*$D$7)</f>
        <v/>
      </c>
      <c r="D368" s="14" t="str">
        <f aca="false">IF(A368="","",D367+C368)</f>
        <v/>
      </c>
      <c r="E368" s="14" t="str">
        <f aca="false">IF(A368="","",(E367+B368)*(1+$D$8)+C368*$D$10)</f>
        <v/>
      </c>
    </row>
    <row r="369" customFormat="false" ht="15" hidden="false" customHeight="false" outlineLevel="0" collapsed="false">
      <c r="A369" s="13" t="str">
        <f aca="false">IF(ROW()-ROW($A$22)&lt;=($D$9),ROW()-ROW($A$22),"")</f>
        <v/>
      </c>
      <c r="B369" s="14" t="str">
        <f aca="false">IF(A369="","",$D$6)</f>
        <v/>
      </c>
      <c r="C369" s="14" t="str">
        <f aca="false">IF(A369="","",E368*$D$7)</f>
        <v/>
      </c>
      <c r="D369" s="14" t="str">
        <f aca="false">IF(A369="","",D368+C369)</f>
        <v/>
      </c>
      <c r="E369" s="14" t="str">
        <f aca="false">IF(A369="","",(E368+B369)*(1+$D$8)+C369*$D$10)</f>
        <v/>
      </c>
    </row>
    <row r="370" customFormat="false" ht="15" hidden="false" customHeight="false" outlineLevel="0" collapsed="false">
      <c r="A370" s="13" t="str">
        <f aca="false">IF(ROW()-ROW($A$22)&lt;=($D$9),ROW()-ROW($A$22),"")</f>
        <v/>
      </c>
      <c r="B370" s="14" t="str">
        <f aca="false">IF(A370="","",$D$6)</f>
        <v/>
      </c>
      <c r="C370" s="14" t="str">
        <f aca="false">IF(A370="","",E369*$D$7)</f>
        <v/>
      </c>
      <c r="D370" s="14" t="str">
        <f aca="false">IF(A370="","",D369+C370)</f>
        <v/>
      </c>
      <c r="E370" s="14" t="str">
        <f aca="false">IF(A370="","",(E369+B370)*(1+$D$8)+C370*$D$10)</f>
        <v/>
      </c>
    </row>
    <row r="371" customFormat="false" ht="15" hidden="false" customHeight="false" outlineLevel="0" collapsed="false">
      <c r="A371" s="13" t="str">
        <f aca="false">IF(ROW()-ROW($A$22)&lt;=($D$9),ROW()-ROW($A$22),"")</f>
        <v/>
      </c>
      <c r="B371" s="14" t="str">
        <f aca="false">IF(A371="","",$D$6)</f>
        <v/>
      </c>
      <c r="C371" s="14" t="str">
        <f aca="false">IF(A371="","",E370*$D$7)</f>
        <v/>
      </c>
      <c r="D371" s="14" t="str">
        <f aca="false">IF(A371="","",D370+C371)</f>
        <v/>
      </c>
      <c r="E371" s="14" t="str">
        <f aca="false">IF(A371="","",(E370+B371)*(1+$D$8)+C371*$D$10)</f>
        <v/>
      </c>
    </row>
    <row r="372" customFormat="false" ht="15" hidden="false" customHeight="false" outlineLevel="0" collapsed="false">
      <c r="A372" s="13" t="str">
        <f aca="false">IF(ROW()-ROW($A$22)&lt;=($D$9),ROW()-ROW($A$22),"")</f>
        <v/>
      </c>
      <c r="B372" s="14" t="str">
        <f aca="false">IF(A372="","",$D$6)</f>
        <v/>
      </c>
      <c r="C372" s="14" t="str">
        <f aca="false">IF(A372="","",E371*$D$7)</f>
        <v/>
      </c>
      <c r="D372" s="14" t="str">
        <f aca="false">IF(A372="","",D371+C372)</f>
        <v/>
      </c>
      <c r="E372" s="14" t="str">
        <f aca="false">IF(A372="","",(E371+B372)*(1+$D$8)+C372*$D$10)</f>
        <v/>
      </c>
    </row>
    <row r="373" customFormat="false" ht="15" hidden="false" customHeight="false" outlineLevel="0" collapsed="false">
      <c r="A373" s="13" t="str">
        <f aca="false">IF(ROW()-ROW($A$22)&lt;=($D$9),ROW()-ROW($A$22),"")</f>
        <v/>
      </c>
      <c r="B373" s="14" t="str">
        <f aca="false">IF(A373="","",$D$6)</f>
        <v/>
      </c>
      <c r="C373" s="14" t="str">
        <f aca="false">IF(A373="","",E372*$D$7)</f>
        <v/>
      </c>
      <c r="D373" s="14" t="str">
        <f aca="false">IF(A373="","",D372+C373)</f>
        <v/>
      </c>
      <c r="E373" s="14" t="str">
        <f aca="false">IF(A373="","",(E372+B373)*(1+$D$8)+C373*$D$10)</f>
        <v/>
      </c>
    </row>
    <row r="374" customFormat="false" ht="15" hidden="false" customHeight="false" outlineLevel="0" collapsed="false">
      <c r="A374" s="13" t="str">
        <f aca="false">IF(ROW()-ROW($A$22)&lt;=($D$9),ROW()-ROW($A$22),"")</f>
        <v/>
      </c>
      <c r="B374" s="14" t="str">
        <f aca="false">IF(A374="","",$D$6)</f>
        <v/>
      </c>
      <c r="C374" s="14" t="str">
        <f aca="false">IF(A374="","",E373*$D$7)</f>
        <v/>
      </c>
      <c r="D374" s="14" t="str">
        <f aca="false">IF(A374="","",D373+C374)</f>
        <v/>
      </c>
      <c r="E374" s="14" t="str">
        <f aca="false">IF(A374="","",(E373+B374)*(1+$D$8)+C374*$D$10)</f>
        <v/>
      </c>
    </row>
    <row r="375" customFormat="false" ht="15" hidden="false" customHeight="false" outlineLevel="0" collapsed="false">
      <c r="A375" s="13" t="str">
        <f aca="false">IF(ROW()-ROW($A$22)&lt;=($D$9),ROW()-ROW($A$22),"")</f>
        <v/>
      </c>
      <c r="B375" s="14" t="str">
        <f aca="false">IF(A375="","",$D$6)</f>
        <v/>
      </c>
      <c r="C375" s="14" t="str">
        <f aca="false">IF(A375="","",E374*$D$7)</f>
        <v/>
      </c>
      <c r="D375" s="14" t="str">
        <f aca="false">IF(A375="","",D374+C375)</f>
        <v/>
      </c>
      <c r="E375" s="14" t="str">
        <f aca="false">IF(A375="","",(E374+B375)*(1+$D$8)+C375*$D$10)</f>
        <v/>
      </c>
    </row>
    <row r="376" customFormat="false" ht="15" hidden="false" customHeight="false" outlineLevel="0" collapsed="false">
      <c r="A376" s="13" t="str">
        <f aca="false">IF(ROW()-ROW($A$22)&lt;=($D$9),ROW()-ROW($A$22),"")</f>
        <v/>
      </c>
      <c r="B376" s="14" t="str">
        <f aca="false">IF(A376="","",$D$6)</f>
        <v/>
      </c>
      <c r="C376" s="14" t="str">
        <f aca="false">IF(A376="","",E375*$D$7)</f>
        <v/>
      </c>
      <c r="D376" s="14" t="str">
        <f aca="false">IF(A376="","",D375+C376)</f>
        <v/>
      </c>
      <c r="E376" s="14" t="str">
        <f aca="false">IF(A376="","",(E375+B376)*(1+$D$8)+C376*$D$10)</f>
        <v/>
      </c>
    </row>
    <row r="377" customFormat="false" ht="15" hidden="false" customHeight="false" outlineLevel="0" collapsed="false">
      <c r="A377" s="13" t="str">
        <f aca="false">IF(ROW()-ROW($A$22)&lt;=($D$9),ROW()-ROW($A$22),"")</f>
        <v/>
      </c>
      <c r="B377" s="14" t="str">
        <f aca="false">IF(A377="","",$D$6)</f>
        <v/>
      </c>
      <c r="C377" s="14" t="str">
        <f aca="false">IF(A377="","",E376*$D$7)</f>
        <v/>
      </c>
      <c r="D377" s="14" t="str">
        <f aca="false">IF(A377="","",D376+C377)</f>
        <v/>
      </c>
      <c r="E377" s="14" t="str">
        <f aca="false">IF(A377="","",(E376+B377)*(1+$D$8)+C377*$D$10)</f>
        <v/>
      </c>
    </row>
    <row r="378" customFormat="false" ht="15" hidden="false" customHeight="false" outlineLevel="0" collapsed="false">
      <c r="A378" s="13" t="str">
        <f aca="false">IF(ROW()-ROW($A$22)&lt;=($D$9),ROW()-ROW($A$22),"")</f>
        <v/>
      </c>
      <c r="B378" s="14" t="str">
        <f aca="false">IF(A378="","",$D$6)</f>
        <v/>
      </c>
      <c r="C378" s="14" t="str">
        <f aca="false">IF(A378="","",E377*$D$7)</f>
        <v/>
      </c>
      <c r="D378" s="14" t="str">
        <f aca="false">IF(A378="","",D377+C378)</f>
        <v/>
      </c>
      <c r="E378" s="14" t="str">
        <f aca="false">IF(A378="","",(E377+B378)*(1+$D$8)+C378*$D$10)</f>
        <v/>
      </c>
    </row>
    <row r="379" customFormat="false" ht="15" hidden="false" customHeight="false" outlineLevel="0" collapsed="false">
      <c r="A379" s="13" t="str">
        <f aca="false">IF(ROW()-ROW($A$22)&lt;=($D$9),ROW()-ROW($A$22),"")</f>
        <v/>
      </c>
      <c r="B379" s="14" t="str">
        <f aca="false">IF(A379="","",$D$6)</f>
        <v/>
      </c>
      <c r="C379" s="14" t="str">
        <f aca="false">IF(A379="","",E378*$D$7)</f>
        <v/>
      </c>
      <c r="D379" s="14" t="str">
        <f aca="false">IF(A379="","",D378+C379)</f>
        <v/>
      </c>
      <c r="E379" s="14" t="str">
        <f aca="false">IF(A379="","",(E378+B379)*(1+$D$8)+C379*$D$10)</f>
        <v/>
      </c>
    </row>
    <row r="380" customFormat="false" ht="15" hidden="false" customHeight="false" outlineLevel="0" collapsed="false">
      <c r="A380" s="13" t="str">
        <f aca="false">IF(ROW()-ROW($A$22)&lt;=($D$9),ROW()-ROW($A$22),"")</f>
        <v/>
      </c>
      <c r="B380" s="14" t="str">
        <f aca="false">IF(A380="","",$D$6)</f>
        <v/>
      </c>
      <c r="C380" s="14" t="str">
        <f aca="false">IF(A380="","",E379*$D$7)</f>
        <v/>
      </c>
      <c r="D380" s="14" t="str">
        <f aca="false">IF(A380="","",D379+C380)</f>
        <v/>
      </c>
      <c r="E380" s="14" t="str">
        <f aca="false">IF(A380="","",(E379+B380)*(1+$D$8)+C380*$D$10)</f>
        <v/>
      </c>
    </row>
    <row r="381" customFormat="false" ht="15" hidden="false" customHeight="false" outlineLevel="0" collapsed="false">
      <c r="A381" s="13" t="str">
        <f aca="false">IF(ROW()-ROW($A$22)&lt;=($D$9),ROW()-ROW($A$22),"")</f>
        <v/>
      </c>
      <c r="B381" s="14" t="str">
        <f aca="false">IF(A381="","",$D$6)</f>
        <v/>
      </c>
      <c r="C381" s="14" t="str">
        <f aca="false">IF(A381="","",E380*$D$7)</f>
        <v/>
      </c>
      <c r="D381" s="14" t="str">
        <f aca="false">IF(A381="","",D380+C381)</f>
        <v/>
      </c>
      <c r="E381" s="14" t="str">
        <f aca="false">IF(A381="","",(E380+B381)*(1+$D$8)+C381*$D$10)</f>
        <v/>
      </c>
    </row>
    <row r="382" customFormat="false" ht="15" hidden="false" customHeight="false" outlineLevel="0" collapsed="false">
      <c r="A382" s="13" t="str">
        <f aca="false">IF(ROW()-ROW($A$22)&lt;=($D$9),ROW()-ROW($A$22),"")</f>
        <v/>
      </c>
      <c r="B382" s="14" t="str">
        <f aca="false">IF(A382="","",$D$6)</f>
        <v/>
      </c>
      <c r="C382" s="14" t="str">
        <f aca="false">IF(A382="","",E381*$D$7)</f>
        <v/>
      </c>
      <c r="D382" s="14" t="str">
        <f aca="false">IF(A382="","",D381+C382)</f>
        <v/>
      </c>
      <c r="E382" s="14" t="str">
        <f aca="false">IF(A382="","",(E381+B382)*(1+$D$8)+C382*$D$10)</f>
        <v/>
      </c>
    </row>
  </sheetData>
  <mergeCells count="17">
    <mergeCell ref="A1:E1"/>
    <mergeCell ref="A2:E2"/>
    <mergeCell ref="A4:E4"/>
    <mergeCell ref="A5:C5"/>
    <mergeCell ref="A6:C6"/>
    <mergeCell ref="A7:C7"/>
    <mergeCell ref="A8:C8"/>
    <mergeCell ref="A9:C9"/>
    <mergeCell ref="A10:C10"/>
    <mergeCell ref="A12:E12"/>
    <mergeCell ref="A14:E14"/>
    <mergeCell ref="A15:C15"/>
    <mergeCell ref="A16:C16"/>
    <mergeCell ref="A17:C17"/>
    <mergeCell ref="A18:C18"/>
    <mergeCell ref="A19:C19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2026-08-25T15:17:24Z</dcterms:created>
  <dc:creator>openpyxl</dc:creator>
  <dc:description/>
  <dc:language>en-US</dc:language>
  <cp:lastModifiedBy/>
  <dcterms:modified xsi:type="dcterms:W3CDTF">2026-08-25T15:17:24Z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