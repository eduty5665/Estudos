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dos" sheetId="1" state="visible" r:id="rId3"/>
    <sheet name="Resumo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<sst xmlns="http://schemas.openxmlformats.org/spreadsheetml/2006/main" count="1666" uniqueCount="75">
  <si>
    <t xml:space="preserve">🎮  Base de Dados — Vendas Xbox Store (2025)</t>
  </si>
  <si>
    <t xml:space="preserve">&lt;&lt;  Voltar ao Dashboard</t>
  </si>
  <si>
    <t xml:space="preserve">ID Pedido</t>
  </si>
  <si>
    <t xml:space="preserve">Data</t>
  </si>
  <si>
    <t xml:space="preserve">Produto</t>
  </si>
  <si>
    <t xml:space="preserve">Categoria</t>
  </si>
  <si>
    <t xml:space="preserve">Plataforma</t>
  </si>
  <si>
    <t xml:space="preserve">Região</t>
  </si>
  <si>
    <t xml:space="preserve">Vendedor</t>
  </si>
  <si>
    <t xml:space="preserve">Quantidade</t>
  </si>
  <si>
    <t xml:space="preserve">Valor Unitário (R$)</t>
  </si>
  <si>
    <t xml:space="preserve">Valor Total (R$)</t>
  </si>
  <si>
    <t xml:space="preserve">Mês</t>
  </si>
  <si>
    <t xml:space="preserve">Starfield</t>
  </si>
  <si>
    <t xml:space="preserve">Jogo</t>
  </si>
  <si>
    <t xml:space="preserve">Xbox</t>
  </si>
  <si>
    <t xml:space="preserve">Sudeste</t>
  </si>
  <si>
    <t xml:space="preserve">Ana Ferreira</t>
  </si>
  <si>
    <t xml:space="preserve">Xbox Series S 512GB</t>
  </si>
  <si>
    <t xml:space="preserve">Console</t>
  </si>
  <si>
    <t xml:space="preserve">Sul</t>
  </si>
  <si>
    <t xml:space="preserve">Fábio Lima</t>
  </si>
  <si>
    <t xml:space="preserve">Xbox Series X 1TB</t>
  </si>
  <si>
    <t xml:space="preserve">Bruno Costa</t>
  </si>
  <si>
    <t xml:space="preserve">Controle Xbox Wireless</t>
  </si>
  <si>
    <t xml:space="preserve">Acessório</t>
  </si>
  <si>
    <t xml:space="preserve">Minecraft</t>
  </si>
  <si>
    <t xml:space="preserve">Carla Mendes</t>
  </si>
  <si>
    <t xml:space="preserve">Nordeste</t>
  </si>
  <si>
    <t xml:space="preserve">Elaine Rocha</t>
  </si>
  <si>
    <t xml:space="preserve">Forza Motorsport</t>
  </si>
  <si>
    <t xml:space="preserve">Centro-Oeste</t>
  </si>
  <si>
    <t xml:space="preserve">Call of Duty: Black Ops 6</t>
  </si>
  <si>
    <t xml:space="preserve">Headset Xbox Stereo</t>
  </si>
  <si>
    <t xml:space="preserve">Xbox Game Pass Ultimate (mensal)</t>
  </si>
  <si>
    <t xml:space="preserve">Assinatura</t>
  </si>
  <si>
    <t xml:space="preserve">Halo Infinite</t>
  </si>
  <si>
    <t xml:space="preserve">Diego Souza</t>
  </si>
  <si>
    <t xml:space="preserve">Norte</t>
  </si>
  <si>
    <t xml:space="preserve">Carregador Duplo Xbox</t>
  </si>
  <si>
    <t xml:space="preserve">EA Sports FC 25</t>
  </si>
  <si>
    <t xml:space="preserve">📊  Tabelas de Apoio (calculadas a partir da aba Dados)</t>
  </si>
  <si>
    <t xml:space="preserve">Faturamento Mensal</t>
  </si>
  <si>
    <t xml:space="preserve">Faturamento por Categoria</t>
  </si>
  <si>
    <t xml:space="preserve">Faturamento por Região</t>
  </si>
  <si>
    <t xml:space="preserve">Faturamento por Vendedor</t>
  </si>
  <si>
    <t xml:space="preserve">Faturamento por Produto (base do Top 10)</t>
  </si>
  <si>
    <t xml:space="preserve">Ticket Médio e Unidades por Categoria</t>
  </si>
  <si>
    <t xml:space="preserve">Faturamento (R$)</t>
  </si>
  <si>
    <t xml:space="preserve">Pedidos</t>
  </si>
  <si>
    <t xml:space="preserve">Unidades Vendidas</t>
  </si>
  <si>
    <t xml:space="preserve">Ticket Médio (R$)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</si>
  <si>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</si>
  <si>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</si>
  <si>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</si>
  <si>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</si>
  <si>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</si>
  <si>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</si>
  <si>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</si>
  <si>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</si>
  <si>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</si>
  <si>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</si>
  <si>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</si>
  <si>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</si>
  <si>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Top 10 Produtos por Faturamento</t>
  </si>
  <si>
    <t xml:space="preserve">🎮  Dashboard de Vendas — Xbox Store 2025</t>
  </si>
  <si>
    <t xml:space="preserve">Painel de indicadores de desempenho comercial — ano de 2025 (dados fictícios para fins didáticos)</t>
  </si>
  <si>
    <t xml:space="preserve">FATURAMENTO TOTAL</t>
  </si>
  <si>
    <t xml:space="preserve">UNIDADES VENDIDAS</t>
  </si>
  <si>
    <t xml:space="preserve">TOTAL DE PEDIDOS</t>
  </si>
  <si>
    <t xml:space="preserve">TICKET MÉDIO</t>
  </si>
  <si>
    <t xml:space="preserve">PRODUTO MAIS VENDIDO (R$)</t>
  </si>
  <si>
    <t xml:space="preserve">CATEGORIA LÍDER</t>
  </si>
  <si>
    <t xml:space="preserve">MELHOR MÊS DO ANO</t>
  </si>
  <si>
    <t xml:space="preserve">Todos os indicadores e gráficos são calculados a partir das tabelas de apoio da aba "Resumo", que por sua vez são alimentadas pela base de dados bruta da aba "Dados". Para atualizar o dashboard, edite ou adicione linhas na aba Dados — os totais e gráficos recalculam automaticamente.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</si>
</sst>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R$&quot;#,##0.00"/>
    <numFmt numFmtId="167" formatCode="General"/>
    <numFmt numFmtId="168" formatCode="#,##0"/>
    <numFmt numFmtId="169" formatCode="@"/>
    <numFmt numFmtId="170" formatCode="&quot;R$&quot;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u val="single"/>
      <sz val="9.5"/>
      <color rgb="FF0563C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.5"/>
      <color rgb="FF808080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7B7B7"/>
      <rgbColor rgb="FF808080"/>
      <rgbColor rgb="FF9999FF"/>
      <rgbColor rgb="FFC0504D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8F00"/>
      <rgbColor rgb="FFED7D31"/>
      <rgbColor rgb="FF8064A2"/>
      <rgbColor rgb="FF878787"/>
      <rgbColor rgb="FF003366"/>
      <rgbColor rgb="FF4A7EB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Mensal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Resumo!B5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Resumo!$A$6:$A$17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Resumo!$B$6:$B$17</c:f>
              <c:numCache>
                <c:formatCode>"R$"#,##0.00</c:formatCode>
                <c:ptCount val="12"/>
                <c:pt idx="0">
                  <c:v>25807.34</c:v>
                </c:pt>
                <c:pt idx="1">
                  <c:v>15718.85</c:v>
                </c:pt>
                <c:pt idx="2">
                  <c:v>18910.22</c:v>
                </c:pt>
                <c:pt idx="3">
                  <c:v>32332.66</c:v>
                </c:pt>
                <c:pt idx="4">
                  <c:v>23625.52</c:v>
                </c:pt>
                <c:pt idx="5">
                  <c:v>25159.62</c:v>
                </c:pt>
                <c:pt idx="6">
                  <c:v>28067.63</c:v>
                </c:pt>
                <c:pt idx="7">
                  <c:v>15208.95</c:v>
                </c:pt>
                <c:pt idx="8">
                  <c:v>22008.49</c:v>
                </c:pt>
                <c:pt idx="9">
                  <c:v>17199.35</c:v>
                </c:pt>
                <c:pt idx="10">
                  <c:v>27800.98</c:v>
                </c:pt>
                <c:pt idx="11">
                  <c:v>46851.14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575476"/>
        <c:axId val="27867026"/>
      </c:lineChart>
      <c:catAx>
        <c:axId val="71575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67026"/>
        <c:crosses val="autoZero"/>
        <c:auto val="1"/>
        <c:lblAlgn val="ctr"/>
        <c:lblOffset val="100"/>
        <c:noMultiLvlLbl val="0"/>
      </c:catAx>
      <c:valAx>
        <c:axId val="27867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75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Resumo!F5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Resumo!$E$6:$E$9</c:f>
              <c:strCache>
                <c:ptCount val="4"/>
                <c:pt idx="0">
                  <c:v>Console</c:v>
                </c:pt>
                <c:pt idx="1">
                  <c:v>Jogo</c:v>
                </c:pt>
                <c:pt idx="2">
                  <c:v>Acessório</c:v>
                </c:pt>
                <c:pt idx="3">
                  <c:v>Assinatura</c:v>
                </c:pt>
              </c:strCache>
            </c:strRef>
          </c:cat>
          <c:val>
            <c:numRef>
              <c:f>Resumo!$F$6:$F$9</c:f>
              <c:numCache>
                <c:formatCode>"R$"#,##0.00</c:formatCode>
                <c:ptCount val="4"/>
                <c:pt idx="0">
                  <c:v>196242.48</c:v>
                </c:pt>
                <c:pt idx="1">
                  <c:v>59431.53</c:v>
                </c:pt>
                <c:pt idx="2">
                  <c:v>40925.84</c:v>
                </c:pt>
                <c:pt idx="3">
                  <c:v>2090.9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Resumo!I5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Resumo!$H$6:$H$10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Resumo!$I$6:$I$10</c:f>
              <c:numCache>
                <c:formatCode>"R$"#,##0.00</c:formatCode>
                <c:ptCount val="5"/>
                <c:pt idx="0">
                  <c:v>113255.34</c:v>
                </c:pt>
                <c:pt idx="1">
                  <c:v>79614.82</c:v>
                </c:pt>
                <c:pt idx="2">
                  <c:v>63802</c:v>
                </c:pt>
                <c:pt idx="3">
                  <c:v>15111.59</c:v>
                </c:pt>
                <c:pt idx="4">
                  <c:v>26907</c:v>
                </c:pt>
              </c:numCache>
            </c:numRef>
          </c:val>
        </c:ser>
        <c:gapWidth val="150"/>
        <c:overlap val="0"/>
        <c:axId val="53822659"/>
        <c:axId val="83316367"/>
      </c:barChart>
      <c:catAx>
        <c:axId val="53822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16367"/>
        <c:crosses val="autoZero"/>
        <c:auto val="1"/>
        <c:lblAlgn val="ctr"/>
        <c:lblOffset val="100"/>
        <c:noMultiLvlLbl val="0"/>
      </c:catAx>
      <c:valAx>
        <c:axId val="83316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22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Produtos por Faturamento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Resumo!O21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Resumo!$N$22:$N$31</c:f>
              <c:strCache>
                <c:ptCount val="10"/>
                <c:pt idx="0">
                  <c:v>Xbox Series X 1TB</c:v>
                </c:pt>
                <c:pt idx="1">
                  <c:v>Xbox Series S 512GB</c:v>
                </c:pt>
                <c:pt idx="2">
                  <c:v>Controle Xbox Wireless</c:v>
                </c:pt>
                <c:pt idx="3">
                  <c:v>Call of Duty: Black Ops 6</c:v>
                </c:pt>
                <c:pt idx="4">
                  <c:v>EA Sports FC 25</c:v>
                </c:pt>
                <c:pt idx="5">
                  <c:v>Carregador Duplo Xbox</c:v>
                </c:pt>
                <c:pt idx="6">
                  <c:v>Starfield</c:v>
                </c:pt>
                <c:pt idx="7">
                  <c:v>Forza Motorsport</c:v>
                </c:pt>
                <c:pt idx="8">
                  <c:v>Headset Xbox Stereo</c:v>
                </c:pt>
                <c:pt idx="9">
                  <c:v>Minecraft</c:v>
                </c:pt>
              </c:strCache>
            </c:strRef>
          </c:cat>
          <c:val>
            <c:numRef>
              <c:f>Resumo!$O$22:$O$31</c:f>
              <c:numCache>
                <c:formatCode>"R$"#,##0.00</c:formatCode>
                <c:ptCount val="10"/>
                <c:pt idx="0">
                  <c:v>111711.53</c:v>
                </c:pt>
                <c:pt idx="1">
                  <c:v>84530.95</c:v>
                </c:pt>
                <c:pt idx="2">
                  <c:v>19936.93</c:v>
                </c:pt>
                <c:pt idx="3">
                  <c:v>14851.88</c:v>
                </c:pt>
                <c:pt idx="4">
                  <c:v>12956.34</c:v>
                </c:pt>
                <c:pt idx="5">
                  <c:v>12290.41</c:v>
                </c:pt>
                <c:pt idx="6">
                  <c:v>10168.33</c:v>
                </c:pt>
                <c:pt idx="7">
                  <c:v>9496.25</c:v>
                </c:pt>
                <c:pt idx="8">
                  <c:v>8698.5</c:v>
                </c:pt>
                <c:pt idx="9">
                  <c:v>6811.56</c:v>
                </c:pt>
              </c:numCache>
            </c:numRef>
          </c:val>
        </c:ser>
        <c:gapWidth val="150"/>
        <c:overlap val="0"/>
        <c:axId val="1055809"/>
        <c:axId val="1215004"/>
      </c:barChart>
      <c:catAx>
        <c:axId val="1055809"/>
        <c:scaling>
          <c:orientation val="maxMin"/>
        </c:scaling>
        <c:delete val="0"/>
        <c:axPos val="b"/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5004"/>
        <c:crosses val="autoZero"/>
        <c:auto val="1"/>
        <c:lblAlgn val="ctr"/>
        <c:lblOffset val="100"/>
        <c:noMultiLvlLbl val="0"/>
      </c:catAx>
      <c:valAx>
        <c:axId val="1215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58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Resumo!L5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Resumo!$K$6:$K$11</c:f>
              <c:strCache>
                <c:ptCount val="6"/>
                <c:pt idx="0">
                  <c:v>Ana Ferreira</c:v>
                </c:pt>
                <c:pt idx="1">
                  <c:v>Bruno Costa</c:v>
                </c:pt>
                <c:pt idx="2">
                  <c:v>Carla Mendes</c:v>
                </c:pt>
                <c:pt idx="3">
                  <c:v>Diego Souza</c:v>
                </c:pt>
                <c:pt idx="4">
                  <c:v>Elaine Rocha</c:v>
                </c:pt>
                <c:pt idx="5">
                  <c:v>Fábio Lima</c:v>
                </c:pt>
              </c:strCache>
            </c:strRef>
          </c:cat>
          <c:val>
            <c:numRef>
              <c:f>Resumo!$L$6:$L$11</c:f>
              <c:numCache>
                <c:formatCode>"R$"#,##0.00</c:formatCode>
                <c:ptCount val="6"/>
                <c:pt idx="0">
                  <c:v>78276.58</c:v>
                </c:pt>
                <c:pt idx="1">
                  <c:v>29411.73</c:v>
                </c:pt>
                <c:pt idx="2">
                  <c:v>59878.5</c:v>
                </c:pt>
                <c:pt idx="3">
                  <c:v>26702.64</c:v>
                </c:pt>
                <c:pt idx="4">
                  <c:v>54593.82</c:v>
                </c:pt>
                <c:pt idx="5">
                  <c:v>49827.48</c:v>
                </c:pt>
              </c:numCache>
            </c:numRef>
          </c:val>
        </c:ser>
        <c:gapWidth val="150"/>
        <c:overlap val="0"/>
        <c:axId val="29285941"/>
        <c:axId val="22184416"/>
      </c:barChart>
      <c:catAx>
        <c:axId val="29285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84416"/>
        <c:crosses val="autoZero"/>
        <c:auto val="1"/>
        <c:lblAlgn val="ctr"/>
        <c:lblOffset val="100"/>
        <c:noMultiLvlLbl val="0"/>
      </c:catAx>
      <c:valAx>
        <c:axId val="221844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85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7</xdr:col>
      <xdr:colOff>692280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0" y="27716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442800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5427360" y="2771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442800</xdr:colOff>
      <xdr:row>45</xdr:row>
      <xdr:rowOff>1080</xdr:rowOff>
    </xdr:to>
    <xdr:graphicFrame>
      <xdr:nvGraphicFramePr>
        <xdr:cNvPr id="2" name="Chart 3"/>
        <xdr:cNvGraphicFramePr/>
      </xdr:nvGraphicFramePr>
      <xdr:xfrm>
        <a:off x="0" y="6200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15</xdr:col>
      <xdr:colOff>408600</xdr:colOff>
      <xdr:row>45</xdr:row>
      <xdr:rowOff>1080</xdr:rowOff>
    </xdr:to>
    <xdr:graphicFrame>
      <xdr:nvGraphicFramePr>
        <xdr:cNvPr id="3" name="Chart 4"/>
        <xdr:cNvGraphicFramePr/>
      </xdr:nvGraphicFramePr>
      <xdr:xfrm>
        <a:off x="5427360" y="62006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7</xdr:col>
      <xdr:colOff>692280</xdr:colOff>
      <xdr:row>63</xdr:row>
      <xdr:rowOff>1080</xdr:rowOff>
    </xdr:to>
    <xdr:graphicFrame>
      <xdr:nvGraphicFramePr>
        <xdr:cNvPr id="4" name="Chart 5"/>
        <xdr:cNvGraphicFramePr/>
      </xdr:nvGraphicFramePr>
      <xdr:xfrm>
        <a:off x="0" y="96296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ashboard_Vendas_Xbox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Dashboard_Vendas_Xbox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3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1001</v>
      </c>
      <c r="B5" s="5" t="n">
        <v>45658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n">
        <v>1</v>
      </c>
      <c r="I5" s="6" t="n">
        <v>237.98</v>
      </c>
      <c r="J5" s="6" t="n">
        <f aca="false">H5*I5</f>
        <v>237.98</v>
      </c>
      <c r="K5" s="4" t="str">
        <f aca="false">CHOOSE(MONTH(B5),"Janeiro","Fevereiro","Março","Abril","Maio","Junho","Julho","Agosto","Setembro","Outubro","Novembro","Dezembro")</f>
        <v>Janeiro</v>
      </c>
    </row>
    <row r="6" customFormat="false" ht="15" hidden="false" customHeight="false" outlineLevel="0" collapsed="false">
      <c r="A6" s="4" t="n">
        <v>1003</v>
      </c>
      <c r="B6" s="5" t="n">
        <v>45658</v>
      </c>
      <c r="C6" s="4" t="s">
        <v>18</v>
      </c>
      <c r="D6" s="4" t="s">
        <v>19</v>
      </c>
      <c r="E6" s="4" t="s">
        <v>15</v>
      </c>
      <c r="F6" s="4" t="s">
        <v>20</v>
      </c>
      <c r="G6" s="4" t="s">
        <v>21</v>
      </c>
      <c r="H6" s="4" t="n">
        <v>1</v>
      </c>
      <c r="I6" s="6" t="n">
        <v>2559.79</v>
      </c>
      <c r="J6" s="6" t="n">
        <f aca="false">H6*I6</f>
        <v>2559.79</v>
      </c>
      <c r="K6" s="4" t="str">
        <f aca="false">CHOOSE(MONTH(B6),"Janeiro","Fevereiro","Março","Abril","Maio","Junho","Julho","Agosto","Setembro","Outubro","Novembro","Dezembro")</f>
        <v>Janeiro</v>
      </c>
    </row>
    <row r="7" customFormat="false" ht="15" hidden="false" customHeight="false" outlineLevel="0" collapsed="false">
      <c r="A7" s="4" t="n">
        <v>1016</v>
      </c>
      <c r="B7" s="5" t="n">
        <v>45665</v>
      </c>
      <c r="C7" s="4" t="s">
        <v>22</v>
      </c>
      <c r="D7" s="4" t="s">
        <v>19</v>
      </c>
      <c r="E7" s="4" t="s">
        <v>15</v>
      </c>
      <c r="F7" s="4" t="s">
        <v>16</v>
      </c>
      <c r="G7" s="4" t="s">
        <v>23</v>
      </c>
      <c r="H7" s="4" t="n">
        <v>2</v>
      </c>
      <c r="I7" s="6" t="n">
        <v>4609.93</v>
      </c>
      <c r="J7" s="6" t="n">
        <f aca="false">H7*I7</f>
        <v>9219.86</v>
      </c>
      <c r="K7" s="4" t="str">
        <f aca="false">CHOOSE(MONTH(B7),"Janeiro","Fevereiro","Março","Abril","Maio","Junho","Julho","Agosto","Setembro","Outubro","Novembro","Dezembro")</f>
        <v>Janeiro</v>
      </c>
    </row>
    <row r="8" customFormat="false" ht="15" hidden="false" customHeight="false" outlineLevel="0" collapsed="false">
      <c r="A8" s="4" t="n">
        <v>1006</v>
      </c>
      <c r="B8" s="5" t="n">
        <v>45666</v>
      </c>
      <c r="C8" s="4" t="s">
        <v>24</v>
      </c>
      <c r="D8" s="4" t="s">
        <v>25</v>
      </c>
      <c r="E8" s="4" t="s">
        <v>15</v>
      </c>
      <c r="F8" s="4" t="s">
        <v>16</v>
      </c>
      <c r="G8" s="4" t="s">
        <v>17</v>
      </c>
      <c r="H8" s="4" t="n">
        <v>3</v>
      </c>
      <c r="I8" s="6" t="n">
        <v>425.65</v>
      </c>
      <c r="J8" s="6" t="n">
        <f aca="false">H8*I8</f>
        <v>1276.95</v>
      </c>
      <c r="K8" s="4" t="str">
        <f aca="false">CHOOSE(MONTH(B8),"Janeiro","Fevereiro","Março","Abril","Maio","Junho","Julho","Agosto","Setembro","Outubro","Novembro","Dezembro")</f>
        <v>Janeiro</v>
      </c>
    </row>
    <row r="9" customFormat="false" ht="15" hidden="false" customHeight="false" outlineLevel="0" collapsed="false">
      <c r="A9" s="4" t="n">
        <v>1007</v>
      </c>
      <c r="B9" s="5" t="n">
        <v>45670</v>
      </c>
      <c r="C9" s="4" t="s">
        <v>18</v>
      </c>
      <c r="D9" s="4" t="s">
        <v>19</v>
      </c>
      <c r="E9" s="4" t="s">
        <v>15</v>
      </c>
      <c r="F9" s="4" t="s">
        <v>20</v>
      </c>
      <c r="G9" s="4" t="s">
        <v>17</v>
      </c>
      <c r="H9" s="4" t="n">
        <v>1</v>
      </c>
      <c r="I9" s="6" t="n">
        <v>2609.04</v>
      </c>
      <c r="J9" s="6" t="n">
        <f aca="false">H9*I9</f>
        <v>2609.04</v>
      </c>
      <c r="K9" s="4" t="str">
        <f aca="false">CHOOSE(MONTH(B9),"Janeiro","Fevereiro","Março","Abril","Maio","Junho","Julho","Agosto","Setembro","Outubro","Novembro","Dezembro")</f>
        <v>Janeiro</v>
      </c>
    </row>
    <row r="10" customFormat="false" ht="15" hidden="false" customHeight="false" outlineLevel="0" collapsed="false">
      <c r="A10" s="4" t="n">
        <v>1018</v>
      </c>
      <c r="B10" s="5" t="n">
        <v>45670</v>
      </c>
      <c r="C10" s="4" t="s">
        <v>26</v>
      </c>
      <c r="D10" s="4" t="s">
        <v>14</v>
      </c>
      <c r="E10" s="4" t="s">
        <v>15</v>
      </c>
      <c r="F10" s="4" t="s">
        <v>16</v>
      </c>
      <c r="G10" s="4" t="s">
        <v>21</v>
      </c>
      <c r="H10" s="4" t="n">
        <v>1</v>
      </c>
      <c r="I10" s="6" t="n">
        <v>145.97</v>
      </c>
      <c r="J10" s="6" t="n">
        <f aca="false">H10*I10</f>
        <v>145.97</v>
      </c>
      <c r="K10" s="4" t="str">
        <f aca="false">CHOOSE(MONTH(B10),"Janeiro","Fevereiro","Março","Abril","Maio","Junho","Julho","Agosto","Setembro","Outubro","Novembro","Dezembro")</f>
        <v>Janeiro</v>
      </c>
    </row>
    <row r="11" customFormat="false" ht="15" hidden="false" customHeight="false" outlineLevel="0" collapsed="false">
      <c r="A11" s="4" t="n">
        <v>1004</v>
      </c>
      <c r="B11" s="5" t="n">
        <v>45678</v>
      </c>
      <c r="C11" s="4" t="s">
        <v>13</v>
      </c>
      <c r="D11" s="4" t="s">
        <v>14</v>
      </c>
      <c r="E11" s="4" t="s">
        <v>15</v>
      </c>
      <c r="F11" s="4" t="s">
        <v>20</v>
      </c>
      <c r="G11" s="4" t="s">
        <v>27</v>
      </c>
      <c r="H11" s="4" t="n">
        <v>1</v>
      </c>
      <c r="I11" s="6" t="n">
        <v>246.72</v>
      </c>
      <c r="J11" s="6" t="n">
        <f aca="false">H11*I11</f>
        <v>246.72</v>
      </c>
      <c r="K11" s="4" t="str">
        <f aca="false">CHOOSE(MONTH(B11),"Janeiro","Fevereiro","Março","Abril","Maio","Junho","Julho","Agosto","Setembro","Outubro","Novembro","Dezembro")</f>
        <v>Janeiro</v>
      </c>
    </row>
    <row r="12" customFormat="false" ht="15" hidden="false" customHeight="false" outlineLevel="0" collapsed="false">
      <c r="A12" s="4" t="n">
        <v>1002</v>
      </c>
      <c r="B12" s="5" t="n">
        <v>45679</v>
      </c>
      <c r="C12" s="4" t="s">
        <v>13</v>
      </c>
      <c r="D12" s="4" t="s">
        <v>14</v>
      </c>
      <c r="E12" s="4" t="s">
        <v>15</v>
      </c>
      <c r="F12" s="4" t="s">
        <v>20</v>
      </c>
      <c r="G12" s="4" t="s">
        <v>17</v>
      </c>
      <c r="H12" s="4" t="n">
        <v>1</v>
      </c>
      <c r="I12" s="6" t="n">
        <v>257.96</v>
      </c>
      <c r="J12" s="6" t="n">
        <f aca="false">H12*I12</f>
        <v>257.96</v>
      </c>
      <c r="K12" s="4" t="str">
        <f aca="false">CHOOSE(MONTH(B12),"Janeiro","Fevereiro","Março","Abril","Maio","Junho","Julho","Agosto","Setembro","Outubro","Novembro","Dezembro")</f>
        <v>Janeiro</v>
      </c>
    </row>
    <row r="13" customFormat="false" ht="15" hidden="false" customHeight="false" outlineLevel="0" collapsed="false">
      <c r="A13" s="4" t="n">
        <v>1010</v>
      </c>
      <c r="B13" s="5" t="n">
        <v>45680</v>
      </c>
      <c r="C13" s="4" t="s">
        <v>18</v>
      </c>
      <c r="D13" s="4" t="s">
        <v>19</v>
      </c>
      <c r="E13" s="4" t="s">
        <v>15</v>
      </c>
      <c r="F13" s="4" t="s">
        <v>28</v>
      </c>
      <c r="G13" s="4" t="s">
        <v>17</v>
      </c>
      <c r="H13" s="4" t="n">
        <v>1</v>
      </c>
      <c r="I13" s="6" t="n">
        <v>2499.16</v>
      </c>
      <c r="J13" s="6" t="n">
        <f aca="false">H13*I13</f>
        <v>2499.16</v>
      </c>
      <c r="K13" s="4" t="str">
        <f aca="false">CHOOSE(MONTH(B13),"Janeiro","Fevereiro","Março","Abril","Maio","Junho","Julho","Agosto","Setembro","Outubro","Novembro","Dezembro")</f>
        <v>Janeiro</v>
      </c>
    </row>
    <row r="14" customFormat="false" ht="15" hidden="false" customHeight="false" outlineLevel="0" collapsed="false">
      <c r="A14" s="4" t="n">
        <v>1013</v>
      </c>
      <c r="B14" s="5" t="n">
        <v>45680</v>
      </c>
      <c r="C14" s="4" t="s">
        <v>26</v>
      </c>
      <c r="D14" s="4" t="s">
        <v>14</v>
      </c>
      <c r="E14" s="4" t="s">
        <v>15</v>
      </c>
      <c r="F14" s="4" t="s">
        <v>28</v>
      </c>
      <c r="G14" s="4" t="s">
        <v>29</v>
      </c>
      <c r="H14" s="4" t="n">
        <v>2</v>
      </c>
      <c r="I14" s="6" t="n">
        <v>149.63</v>
      </c>
      <c r="J14" s="6" t="n">
        <f aca="false">H14*I14</f>
        <v>299.26</v>
      </c>
      <c r="K14" s="4" t="str">
        <f aca="false">CHOOSE(MONTH(B14),"Janeiro","Fevereiro","Março","Abril","Maio","Junho","Julho","Agosto","Setembro","Outubro","Novembro","Dezembro")</f>
        <v>Janeiro</v>
      </c>
    </row>
    <row r="15" customFormat="false" ht="15" hidden="false" customHeight="false" outlineLevel="0" collapsed="false">
      <c r="A15" s="4" t="n">
        <v>1015</v>
      </c>
      <c r="B15" s="5" t="n">
        <v>45680</v>
      </c>
      <c r="C15" s="4" t="s">
        <v>30</v>
      </c>
      <c r="D15" s="4" t="s">
        <v>14</v>
      </c>
      <c r="E15" s="4" t="s">
        <v>15</v>
      </c>
      <c r="F15" s="4" t="s">
        <v>31</v>
      </c>
      <c r="G15" s="4" t="s">
        <v>17</v>
      </c>
      <c r="H15" s="4" t="n">
        <v>1</v>
      </c>
      <c r="I15" s="6" t="n">
        <v>236.19</v>
      </c>
      <c r="J15" s="6" t="n">
        <f aca="false">H15*I15</f>
        <v>236.19</v>
      </c>
      <c r="K15" s="4" t="str">
        <f aca="false">CHOOSE(MONTH(B15),"Janeiro","Fevereiro","Março","Abril","Maio","Junho","Julho","Agosto","Setembro","Outubro","Novembro","Dezembro")</f>
        <v>Janeiro</v>
      </c>
    </row>
    <row r="16" customFormat="false" ht="15" hidden="false" customHeight="false" outlineLevel="0" collapsed="false">
      <c r="A16" s="4" t="n">
        <v>1008</v>
      </c>
      <c r="B16" s="5" t="n">
        <v>45681</v>
      </c>
      <c r="C16" s="4" t="s">
        <v>32</v>
      </c>
      <c r="D16" s="4" t="s">
        <v>14</v>
      </c>
      <c r="E16" s="4" t="s">
        <v>15</v>
      </c>
      <c r="F16" s="4" t="s">
        <v>16</v>
      </c>
      <c r="G16" s="4" t="s">
        <v>27</v>
      </c>
      <c r="H16" s="4" t="n">
        <v>1</v>
      </c>
      <c r="I16" s="6" t="n">
        <v>345.41</v>
      </c>
      <c r="J16" s="6" t="n">
        <f aca="false">H16*I16</f>
        <v>345.41</v>
      </c>
      <c r="K16" s="4" t="str">
        <f aca="false">CHOOSE(MONTH(B16),"Janeiro","Fevereiro","Março","Abril","Maio","Junho","Julho","Agosto","Setembro","Outubro","Novembro","Dezembro")</f>
        <v>Janeiro</v>
      </c>
    </row>
    <row r="17" customFormat="false" ht="15" hidden="false" customHeight="false" outlineLevel="0" collapsed="false">
      <c r="A17" s="4" t="n">
        <v>1014</v>
      </c>
      <c r="B17" s="5" t="n">
        <v>45681</v>
      </c>
      <c r="C17" s="4" t="s">
        <v>33</v>
      </c>
      <c r="D17" s="4" t="s">
        <v>25</v>
      </c>
      <c r="E17" s="4" t="s">
        <v>15</v>
      </c>
      <c r="F17" s="4" t="s">
        <v>16</v>
      </c>
      <c r="G17" s="4" t="s">
        <v>21</v>
      </c>
      <c r="H17" s="4" t="n">
        <v>1</v>
      </c>
      <c r="I17" s="6" t="n">
        <v>281.43</v>
      </c>
      <c r="J17" s="6" t="n">
        <f aca="false">H17*I17</f>
        <v>281.43</v>
      </c>
      <c r="K17" s="4" t="str">
        <f aca="false">CHOOSE(MONTH(B17),"Janeiro","Fevereiro","Março","Abril","Maio","Junho","Julho","Agosto","Setembro","Outubro","Novembro","Dezembro")</f>
        <v>Janeiro</v>
      </c>
    </row>
    <row r="18" customFormat="false" ht="15" hidden="false" customHeight="false" outlineLevel="0" collapsed="false">
      <c r="A18" s="4" t="n">
        <v>1005</v>
      </c>
      <c r="B18" s="5" t="n">
        <v>45683</v>
      </c>
      <c r="C18" s="4" t="s">
        <v>22</v>
      </c>
      <c r="D18" s="4" t="s">
        <v>19</v>
      </c>
      <c r="E18" s="4" t="s">
        <v>15</v>
      </c>
      <c r="F18" s="4" t="s">
        <v>28</v>
      </c>
      <c r="G18" s="4" t="s">
        <v>27</v>
      </c>
      <c r="H18" s="4" t="n">
        <v>1</v>
      </c>
      <c r="I18" s="6" t="n">
        <v>4582.88</v>
      </c>
      <c r="J18" s="6" t="n">
        <f aca="false">H18*I18</f>
        <v>4582.88</v>
      </c>
      <c r="K18" s="4" t="str">
        <f aca="false">CHOOSE(MONTH(B18),"Janeiro","Fevereiro","Março","Abril","Maio","Junho","Julho","Agosto","Setembro","Outubro","Novembro","Dezembro")</f>
        <v>Janeiro</v>
      </c>
    </row>
    <row r="19" customFormat="false" ht="15" hidden="false" customHeight="false" outlineLevel="0" collapsed="false">
      <c r="A19" s="4" t="n">
        <v>1009</v>
      </c>
      <c r="B19" s="5" t="n">
        <v>45684</v>
      </c>
      <c r="C19" s="4" t="s">
        <v>26</v>
      </c>
      <c r="D19" s="4" t="s">
        <v>14</v>
      </c>
      <c r="E19" s="4" t="s">
        <v>15</v>
      </c>
      <c r="F19" s="4" t="s">
        <v>16</v>
      </c>
      <c r="G19" s="4" t="s">
        <v>23</v>
      </c>
      <c r="H19" s="4" t="n">
        <v>3</v>
      </c>
      <c r="I19" s="6" t="n">
        <v>149.06</v>
      </c>
      <c r="J19" s="6" t="n">
        <f aca="false">H19*I19</f>
        <v>447.18</v>
      </c>
      <c r="K19" s="4" t="str">
        <f aca="false">CHOOSE(MONTH(B19),"Janeiro","Fevereiro","Março","Abril","Maio","Junho","Julho","Agosto","Setembro","Outubro","Novembro","Dezembro")</f>
        <v>Janeiro</v>
      </c>
    </row>
    <row r="20" customFormat="false" ht="15" hidden="false" customHeight="false" outlineLevel="0" collapsed="false">
      <c r="A20" s="4" t="n">
        <v>1012</v>
      </c>
      <c r="B20" s="5" t="n">
        <v>45684</v>
      </c>
      <c r="C20" s="4" t="s">
        <v>34</v>
      </c>
      <c r="D20" s="4" t="s">
        <v>35</v>
      </c>
      <c r="E20" s="4" t="s">
        <v>15</v>
      </c>
      <c r="F20" s="4" t="s">
        <v>16</v>
      </c>
      <c r="G20" s="4" t="s">
        <v>27</v>
      </c>
      <c r="H20" s="4" t="n">
        <v>1</v>
      </c>
      <c r="I20" s="6" t="n">
        <v>47.05</v>
      </c>
      <c r="J20" s="6" t="n">
        <f aca="false">H20*I20</f>
        <v>47.05</v>
      </c>
      <c r="K20" s="4" t="str">
        <f aca="false">CHOOSE(MONTH(B20),"Janeiro","Fevereiro","Março","Abril","Maio","Junho","Julho","Agosto","Setembro","Outubro","Novembro","Dezembro")</f>
        <v>Janeiro</v>
      </c>
    </row>
    <row r="21" customFormat="false" ht="15" hidden="false" customHeight="false" outlineLevel="0" collapsed="false">
      <c r="A21" s="4" t="n">
        <v>1011</v>
      </c>
      <c r="B21" s="5" t="n">
        <v>45685</v>
      </c>
      <c r="C21" s="4" t="s">
        <v>33</v>
      </c>
      <c r="D21" s="4" t="s">
        <v>25</v>
      </c>
      <c r="E21" s="4" t="s">
        <v>15</v>
      </c>
      <c r="F21" s="4" t="s">
        <v>16</v>
      </c>
      <c r="G21" s="4" t="s">
        <v>21</v>
      </c>
      <c r="H21" s="4" t="n">
        <v>1</v>
      </c>
      <c r="I21" s="6" t="n">
        <v>308.76</v>
      </c>
      <c r="J21" s="6" t="n">
        <f aca="false">H21*I21</f>
        <v>308.76</v>
      </c>
      <c r="K21" s="4" t="str">
        <f aca="false">CHOOSE(MONTH(B21),"Janeiro","Fevereiro","Março","Abril","Maio","Junho","Julho","Agosto","Setembro","Outubro","Novembro","Dezembro")</f>
        <v>Janeiro</v>
      </c>
    </row>
    <row r="22" customFormat="false" ht="15" hidden="false" customHeight="false" outlineLevel="0" collapsed="false">
      <c r="A22" s="4" t="n">
        <v>1017</v>
      </c>
      <c r="B22" s="5" t="n">
        <v>45687</v>
      </c>
      <c r="C22" s="4" t="s">
        <v>36</v>
      </c>
      <c r="D22" s="4" t="s">
        <v>14</v>
      </c>
      <c r="E22" s="4" t="s">
        <v>15</v>
      </c>
      <c r="F22" s="4" t="s">
        <v>16</v>
      </c>
      <c r="G22" s="4" t="s">
        <v>37</v>
      </c>
      <c r="H22" s="4" t="n">
        <v>1</v>
      </c>
      <c r="I22" s="6" t="n">
        <v>205.75</v>
      </c>
      <c r="J22" s="6" t="n">
        <f aca="false">H22*I22</f>
        <v>205.75</v>
      </c>
      <c r="K22" s="4" t="str">
        <f aca="false">CHOOSE(MONTH(B22),"Janeiro","Fevereiro","Março","Abril","Maio","Junho","Julho","Agosto","Setembro","Outubro","Novembro","Dezembro")</f>
        <v>Janeiro</v>
      </c>
    </row>
    <row r="23" customFormat="false" ht="15" hidden="false" customHeight="false" outlineLevel="0" collapsed="false">
      <c r="A23" s="4" t="n">
        <v>1029</v>
      </c>
      <c r="B23" s="5" t="n">
        <v>45689</v>
      </c>
      <c r="C23" s="4" t="s">
        <v>36</v>
      </c>
      <c r="D23" s="4" t="s">
        <v>14</v>
      </c>
      <c r="E23" s="4" t="s">
        <v>15</v>
      </c>
      <c r="F23" s="4" t="s">
        <v>16</v>
      </c>
      <c r="G23" s="4" t="s">
        <v>27</v>
      </c>
      <c r="H23" s="4" t="n">
        <v>1</v>
      </c>
      <c r="I23" s="6" t="n">
        <v>191.47</v>
      </c>
      <c r="J23" s="6" t="n">
        <f aca="false">H23*I23</f>
        <v>191.47</v>
      </c>
      <c r="K23" s="4" t="str">
        <f aca="false">CHOOSE(MONTH(B23),"Janeiro","Fevereiro","Março","Abril","Maio","Junho","Julho","Agosto","Setembro","Outubro","Novembro","Dezembro")</f>
        <v>Fevereiro</v>
      </c>
    </row>
    <row r="24" customFormat="false" ht="15" hidden="false" customHeight="false" outlineLevel="0" collapsed="false">
      <c r="A24" s="4" t="n">
        <v>1031</v>
      </c>
      <c r="B24" s="5" t="n">
        <v>45691</v>
      </c>
      <c r="C24" s="4" t="s">
        <v>13</v>
      </c>
      <c r="D24" s="4" t="s">
        <v>14</v>
      </c>
      <c r="E24" s="4" t="s">
        <v>15</v>
      </c>
      <c r="F24" s="4" t="s">
        <v>38</v>
      </c>
      <c r="G24" s="4" t="s">
        <v>29</v>
      </c>
      <c r="H24" s="4" t="n">
        <v>1</v>
      </c>
      <c r="I24" s="6" t="n">
        <v>244.81</v>
      </c>
      <c r="J24" s="6" t="n">
        <f aca="false">H24*I24</f>
        <v>244.81</v>
      </c>
      <c r="K24" s="4" t="str">
        <f aca="false">CHOOSE(MONTH(B24),"Janeiro","Fevereiro","Março","Abril","Maio","Junho","Julho","Agosto","Setembro","Outubro","Novembro","Dezembro")</f>
        <v>Fevereiro</v>
      </c>
    </row>
    <row r="25" customFormat="false" ht="15" hidden="false" customHeight="false" outlineLevel="0" collapsed="false">
      <c r="A25" s="4" t="n">
        <v>1037</v>
      </c>
      <c r="B25" s="5" t="n">
        <v>45691</v>
      </c>
      <c r="C25" s="4" t="s">
        <v>13</v>
      </c>
      <c r="D25" s="4" t="s">
        <v>14</v>
      </c>
      <c r="E25" s="4" t="s">
        <v>15</v>
      </c>
      <c r="F25" s="4" t="s">
        <v>16</v>
      </c>
      <c r="G25" s="4" t="s">
        <v>17</v>
      </c>
      <c r="H25" s="4" t="n">
        <v>1</v>
      </c>
      <c r="I25" s="6" t="n">
        <v>249.51</v>
      </c>
      <c r="J25" s="6" t="n">
        <f aca="false">H25*I25</f>
        <v>249.51</v>
      </c>
      <c r="K25" s="4" t="str">
        <f aca="false">CHOOSE(MONTH(B25),"Janeiro","Fevereiro","Março","Abril","Maio","Junho","Julho","Agosto","Setembro","Outubro","Novembro","Dezembro")</f>
        <v>Fevereiro</v>
      </c>
    </row>
    <row r="26" customFormat="false" ht="15" hidden="false" customHeight="false" outlineLevel="0" collapsed="false">
      <c r="A26" s="4" t="n">
        <v>1025</v>
      </c>
      <c r="B26" s="5" t="n">
        <v>45692</v>
      </c>
      <c r="C26" s="4" t="s">
        <v>39</v>
      </c>
      <c r="D26" s="4" t="s">
        <v>25</v>
      </c>
      <c r="E26" s="4" t="s">
        <v>15</v>
      </c>
      <c r="F26" s="4" t="s">
        <v>16</v>
      </c>
      <c r="G26" s="4" t="s">
        <v>21</v>
      </c>
      <c r="H26" s="4" t="n">
        <v>1</v>
      </c>
      <c r="I26" s="6" t="n">
        <v>252.92</v>
      </c>
      <c r="J26" s="6" t="n">
        <f aca="false">H26*I26</f>
        <v>252.92</v>
      </c>
      <c r="K26" s="4" t="str">
        <f aca="false">CHOOSE(MONTH(B26),"Janeiro","Fevereiro","Março","Abril","Maio","Junho","Julho","Agosto","Setembro","Outubro","Novembro","Dezembro")</f>
        <v>Fevereiro</v>
      </c>
    </row>
    <row r="27" customFormat="false" ht="15" hidden="false" customHeight="false" outlineLevel="0" collapsed="false">
      <c r="A27" s="4" t="n">
        <v>1028</v>
      </c>
      <c r="B27" s="5" t="n">
        <v>45693</v>
      </c>
      <c r="C27" s="4" t="s">
        <v>34</v>
      </c>
      <c r="D27" s="4" t="s">
        <v>35</v>
      </c>
      <c r="E27" s="4" t="s">
        <v>15</v>
      </c>
      <c r="F27" s="4" t="s">
        <v>38</v>
      </c>
      <c r="G27" s="4" t="s">
        <v>29</v>
      </c>
      <c r="H27" s="4" t="n">
        <v>2</v>
      </c>
      <c r="I27" s="6" t="n">
        <v>50.95</v>
      </c>
      <c r="J27" s="6" t="n">
        <f aca="false">H27*I27</f>
        <v>101.9</v>
      </c>
      <c r="K27" s="4" t="str">
        <f aca="false">CHOOSE(MONTH(B27),"Janeiro","Fevereiro","Março","Abril","Maio","Junho","Julho","Agosto","Setembro","Outubro","Novembro","Dezembro")</f>
        <v>Fevereiro</v>
      </c>
    </row>
    <row r="28" customFormat="false" ht="15" hidden="false" customHeight="false" outlineLevel="0" collapsed="false">
      <c r="A28" s="4" t="n">
        <v>1039</v>
      </c>
      <c r="B28" s="5" t="n">
        <v>45695</v>
      </c>
      <c r="C28" s="4" t="s">
        <v>30</v>
      </c>
      <c r="D28" s="4" t="s">
        <v>14</v>
      </c>
      <c r="E28" s="4" t="s">
        <v>15</v>
      </c>
      <c r="F28" s="4" t="s">
        <v>20</v>
      </c>
      <c r="G28" s="4" t="s">
        <v>23</v>
      </c>
      <c r="H28" s="4" t="n">
        <v>2</v>
      </c>
      <c r="I28" s="6" t="n">
        <v>233.36</v>
      </c>
      <c r="J28" s="6" t="n">
        <f aca="false">H28*I28</f>
        <v>466.72</v>
      </c>
      <c r="K28" s="4" t="str">
        <f aca="false">CHOOSE(MONTH(B28),"Janeiro","Fevereiro","Março","Abril","Maio","Junho","Julho","Agosto","Setembro","Outubro","Novembro","Dezembro")</f>
        <v>Fevereiro</v>
      </c>
    </row>
    <row r="29" customFormat="false" ht="15" hidden="false" customHeight="false" outlineLevel="0" collapsed="false">
      <c r="A29" s="4" t="n">
        <v>1036</v>
      </c>
      <c r="B29" s="5" t="n">
        <v>45696</v>
      </c>
      <c r="C29" s="4" t="s">
        <v>18</v>
      </c>
      <c r="D29" s="4" t="s">
        <v>19</v>
      </c>
      <c r="E29" s="4" t="s">
        <v>15</v>
      </c>
      <c r="F29" s="4" t="s">
        <v>20</v>
      </c>
      <c r="G29" s="4" t="s">
        <v>17</v>
      </c>
      <c r="H29" s="4" t="n">
        <v>1</v>
      </c>
      <c r="I29" s="6" t="n">
        <v>2601.7</v>
      </c>
      <c r="J29" s="6" t="n">
        <f aca="false">H29*I29</f>
        <v>2601.7</v>
      </c>
      <c r="K29" s="4" t="str">
        <f aca="false">CHOOSE(MONTH(B29),"Janeiro","Fevereiro","Março","Abril","Maio","Junho","Julho","Agosto","Setembro","Outubro","Novembro","Dezembro")</f>
        <v>Fevereiro</v>
      </c>
    </row>
    <row r="30" customFormat="false" ht="15" hidden="false" customHeight="false" outlineLevel="0" collapsed="false">
      <c r="A30" s="4" t="n">
        <v>1033</v>
      </c>
      <c r="B30" s="5" t="n">
        <v>45697</v>
      </c>
      <c r="C30" s="4" t="s">
        <v>30</v>
      </c>
      <c r="D30" s="4" t="s">
        <v>14</v>
      </c>
      <c r="E30" s="4" t="s">
        <v>15</v>
      </c>
      <c r="F30" s="4" t="s">
        <v>38</v>
      </c>
      <c r="G30" s="4" t="s">
        <v>29</v>
      </c>
      <c r="H30" s="4" t="n">
        <v>1</v>
      </c>
      <c r="I30" s="6" t="n">
        <v>257.32</v>
      </c>
      <c r="J30" s="6" t="n">
        <f aca="false">H30*I30</f>
        <v>257.32</v>
      </c>
      <c r="K30" s="4" t="str">
        <f aca="false">CHOOSE(MONTH(B30),"Janeiro","Fevereiro","Março","Abril","Maio","Junho","Julho","Agosto","Setembro","Outubro","Novembro","Dezembro")</f>
        <v>Fevereiro</v>
      </c>
    </row>
    <row r="31" customFormat="false" ht="15" hidden="false" customHeight="false" outlineLevel="0" collapsed="false">
      <c r="A31" s="4" t="n">
        <v>1020</v>
      </c>
      <c r="B31" s="5" t="n">
        <v>45700</v>
      </c>
      <c r="C31" s="4" t="s">
        <v>33</v>
      </c>
      <c r="D31" s="4" t="s">
        <v>25</v>
      </c>
      <c r="E31" s="4" t="s">
        <v>15</v>
      </c>
      <c r="F31" s="4" t="s">
        <v>20</v>
      </c>
      <c r="G31" s="4" t="s">
        <v>17</v>
      </c>
      <c r="H31" s="4" t="n">
        <v>1</v>
      </c>
      <c r="I31" s="6" t="n">
        <v>313.85</v>
      </c>
      <c r="J31" s="6" t="n">
        <f aca="false">H31*I31</f>
        <v>313.85</v>
      </c>
      <c r="K31" s="4" t="str">
        <f aca="false">CHOOSE(MONTH(B31),"Janeiro","Fevereiro","Março","Abril","Maio","Junho","Julho","Agosto","Setembro","Outubro","Novembro","Dezembro")</f>
        <v>Fevereiro</v>
      </c>
    </row>
    <row r="32" customFormat="false" ht="15" hidden="false" customHeight="false" outlineLevel="0" collapsed="false">
      <c r="A32" s="4" t="n">
        <v>1022</v>
      </c>
      <c r="B32" s="5" t="n">
        <v>45702</v>
      </c>
      <c r="C32" s="4" t="s">
        <v>36</v>
      </c>
      <c r="D32" s="4" t="s">
        <v>14</v>
      </c>
      <c r="E32" s="4" t="s">
        <v>15</v>
      </c>
      <c r="F32" s="4" t="s">
        <v>20</v>
      </c>
      <c r="G32" s="4" t="s">
        <v>37</v>
      </c>
      <c r="H32" s="4" t="n">
        <v>1</v>
      </c>
      <c r="I32" s="6" t="n">
        <v>184.72</v>
      </c>
      <c r="J32" s="6" t="n">
        <f aca="false">H32*I32</f>
        <v>184.72</v>
      </c>
      <c r="K32" s="4" t="str">
        <f aca="false">CHOOSE(MONTH(B32),"Janeiro","Fevereiro","Março","Abril","Maio","Junho","Julho","Agosto","Setembro","Outubro","Novembro","Dezembro")</f>
        <v>Fevereiro</v>
      </c>
    </row>
    <row r="33" customFormat="false" ht="15" hidden="false" customHeight="false" outlineLevel="0" collapsed="false">
      <c r="A33" s="4" t="n">
        <v>1023</v>
      </c>
      <c r="B33" s="5" t="n">
        <v>45705</v>
      </c>
      <c r="C33" s="4" t="s">
        <v>39</v>
      </c>
      <c r="D33" s="4" t="s">
        <v>25</v>
      </c>
      <c r="E33" s="4" t="s">
        <v>15</v>
      </c>
      <c r="F33" s="4" t="s">
        <v>38</v>
      </c>
      <c r="G33" s="4" t="s">
        <v>21</v>
      </c>
      <c r="H33" s="4" t="n">
        <v>3</v>
      </c>
      <c r="I33" s="6" t="n">
        <v>270.98</v>
      </c>
      <c r="J33" s="6" t="n">
        <f aca="false">H33*I33</f>
        <v>812.94</v>
      </c>
      <c r="K33" s="4" t="str">
        <f aca="false">CHOOSE(MONTH(B33),"Janeiro","Fevereiro","Março","Abril","Maio","Junho","Julho","Agosto","Setembro","Outubro","Novembro","Dezembro")</f>
        <v>Fevereiro</v>
      </c>
    </row>
    <row r="34" customFormat="false" ht="15" hidden="false" customHeight="false" outlineLevel="0" collapsed="false">
      <c r="A34" s="4" t="n">
        <v>1019</v>
      </c>
      <c r="B34" s="5" t="n">
        <v>45706</v>
      </c>
      <c r="C34" s="4" t="s">
        <v>39</v>
      </c>
      <c r="D34" s="4" t="s">
        <v>25</v>
      </c>
      <c r="E34" s="4" t="s">
        <v>15</v>
      </c>
      <c r="F34" s="4" t="s">
        <v>31</v>
      </c>
      <c r="G34" s="4" t="s">
        <v>37</v>
      </c>
      <c r="H34" s="4" t="n">
        <v>1</v>
      </c>
      <c r="I34" s="6" t="n">
        <v>263.43</v>
      </c>
      <c r="J34" s="6" t="n">
        <f aca="false">H34*I34</f>
        <v>263.43</v>
      </c>
      <c r="K34" s="4" t="str">
        <f aca="false">CHOOSE(MONTH(B34),"Janeiro","Fevereiro","Março","Abril","Maio","Junho","Julho","Agosto","Setembro","Outubro","Novembro","Dezembro")</f>
        <v>Fevereiro</v>
      </c>
    </row>
    <row r="35" customFormat="false" ht="15" hidden="false" customHeight="false" outlineLevel="0" collapsed="false">
      <c r="A35" s="4" t="n">
        <v>1035</v>
      </c>
      <c r="B35" s="5" t="n">
        <v>45709</v>
      </c>
      <c r="C35" s="4" t="s">
        <v>34</v>
      </c>
      <c r="D35" s="4" t="s">
        <v>35</v>
      </c>
      <c r="E35" s="4" t="s">
        <v>15</v>
      </c>
      <c r="F35" s="4" t="s">
        <v>20</v>
      </c>
      <c r="G35" s="4" t="s">
        <v>23</v>
      </c>
      <c r="H35" s="4" t="n">
        <v>2</v>
      </c>
      <c r="I35" s="6" t="n">
        <v>48.84</v>
      </c>
      <c r="J35" s="6" t="n">
        <f aca="false">H35*I35</f>
        <v>97.68</v>
      </c>
      <c r="K35" s="4" t="str">
        <f aca="false">CHOOSE(MONTH(B35),"Janeiro","Fevereiro","Março","Abril","Maio","Junho","Julho","Agosto","Setembro","Outubro","Novembro","Dezembro")</f>
        <v>Fevereiro</v>
      </c>
    </row>
    <row r="36" customFormat="false" ht="15" hidden="false" customHeight="false" outlineLevel="0" collapsed="false">
      <c r="A36" s="4" t="n">
        <v>1024</v>
      </c>
      <c r="B36" s="5" t="n">
        <v>45712</v>
      </c>
      <c r="C36" s="4" t="s">
        <v>18</v>
      </c>
      <c r="D36" s="4" t="s">
        <v>19</v>
      </c>
      <c r="E36" s="4" t="s">
        <v>15</v>
      </c>
      <c r="F36" s="4" t="s">
        <v>28</v>
      </c>
      <c r="G36" s="4" t="s">
        <v>27</v>
      </c>
      <c r="H36" s="4" t="n">
        <v>1</v>
      </c>
      <c r="I36" s="6" t="n">
        <v>2722.27</v>
      </c>
      <c r="J36" s="6" t="n">
        <f aca="false">H36*I36</f>
        <v>2722.27</v>
      </c>
      <c r="K36" s="4" t="str">
        <f aca="false">CHOOSE(MONTH(B36),"Janeiro","Fevereiro","Março","Abril","Maio","Junho","Julho","Agosto","Setembro","Outubro","Novembro","Dezembro")</f>
        <v>Fevereiro</v>
      </c>
    </row>
    <row r="37" customFormat="false" ht="15" hidden="false" customHeight="false" outlineLevel="0" collapsed="false">
      <c r="A37" s="4" t="n">
        <v>1026</v>
      </c>
      <c r="B37" s="5" t="n">
        <v>45712</v>
      </c>
      <c r="C37" s="4" t="s">
        <v>39</v>
      </c>
      <c r="D37" s="4" t="s">
        <v>25</v>
      </c>
      <c r="E37" s="4" t="s">
        <v>15</v>
      </c>
      <c r="F37" s="4" t="s">
        <v>16</v>
      </c>
      <c r="G37" s="4" t="s">
        <v>17</v>
      </c>
      <c r="H37" s="4" t="n">
        <v>3</v>
      </c>
      <c r="I37" s="6" t="n">
        <v>271</v>
      </c>
      <c r="J37" s="6" t="n">
        <f aca="false">H37*I37</f>
        <v>813</v>
      </c>
      <c r="K37" s="4" t="str">
        <f aca="false">CHOOSE(MONTH(B37),"Janeiro","Fevereiro","Março","Abril","Maio","Junho","Julho","Agosto","Setembro","Outubro","Novembro","Dezembro")</f>
        <v>Fevereiro</v>
      </c>
    </row>
    <row r="38" customFormat="false" ht="15" hidden="false" customHeight="false" outlineLevel="0" collapsed="false">
      <c r="A38" s="4" t="n">
        <v>1021</v>
      </c>
      <c r="B38" s="5" t="n">
        <v>45713</v>
      </c>
      <c r="C38" s="4" t="s">
        <v>22</v>
      </c>
      <c r="D38" s="4" t="s">
        <v>19</v>
      </c>
      <c r="E38" s="4" t="s">
        <v>15</v>
      </c>
      <c r="F38" s="4" t="s">
        <v>28</v>
      </c>
      <c r="G38" s="4" t="s">
        <v>21</v>
      </c>
      <c r="H38" s="4" t="n">
        <v>1</v>
      </c>
      <c r="I38" s="6" t="n">
        <v>4642.71</v>
      </c>
      <c r="J38" s="6" t="n">
        <f aca="false">H38*I38</f>
        <v>4642.71</v>
      </c>
      <c r="K38" s="4" t="str">
        <f aca="false">CHOOSE(MONTH(B38),"Janeiro","Fevereiro","Março","Abril","Maio","Junho","Julho","Agosto","Setembro","Outubro","Novembro","Dezembro")</f>
        <v>Fevereiro</v>
      </c>
    </row>
    <row r="39" customFormat="false" ht="15" hidden="false" customHeight="false" outlineLevel="0" collapsed="false">
      <c r="A39" s="4" t="n">
        <v>1032</v>
      </c>
      <c r="B39" s="5" t="n">
        <v>45713</v>
      </c>
      <c r="C39" s="4" t="s">
        <v>24</v>
      </c>
      <c r="D39" s="4" t="s">
        <v>25</v>
      </c>
      <c r="E39" s="4" t="s">
        <v>15</v>
      </c>
      <c r="F39" s="4" t="s">
        <v>38</v>
      </c>
      <c r="G39" s="4" t="s">
        <v>23</v>
      </c>
      <c r="H39" s="4" t="n">
        <v>1</v>
      </c>
      <c r="I39" s="6" t="n">
        <v>420.57</v>
      </c>
      <c r="J39" s="6" t="n">
        <f aca="false">H39*I39</f>
        <v>420.57</v>
      </c>
      <c r="K39" s="4" t="str">
        <f aca="false">CHOOSE(MONTH(B39),"Janeiro","Fevereiro","Março","Abril","Maio","Junho","Julho","Agosto","Setembro","Outubro","Novembro","Dezembro")</f>
        <v>Fevereiro</v>
      </c>
    </row>
    <row r="40" customFormat="false" ht="15" hidden="false" customHeight="false" outlineLevel="0" collapsed="false">
      <c r="A40" s="4" t="n">
        <v>1034</v>
      </c>
      <c r="B40" s="5" t="n">
        <v>45713</v>
      </c>
      <c r="C40" s="4" t="s">
        <v>13</v>
      </c>
      <c r="D40" s="4" t="s">
        <v>14</v>
      </c>
      <c r="E40" s="4" t="s">
        <v>15</v>
      </c>
      <c r="F40" s="4" t="s">
        <v>16</v>
      </c>
      <c r="G40" s="4" t="s">
        <v>21</v>
      </c>
      <c r="H40" s="4" t="n">
        <v>2</v>
      </c>
      <c r="I40" s="6" t="n">
        <v>251.41</v>
      </c>
      <c r="J40" s="6" t="n">
        <f aca="false">H40*I40</f>
        <v>502.82</v>
      </c>
      <c r="K40" s="4" t="str">
        <f aca="false">CHOOSE(MONTH(B40),"Janeiro","Fevereiro","Março","Abril","Maio","Junho","Julho","Agosto","Setembro","Outubro","Novembro","Dezembro")</f>
        <v>Fevereiro</v>
      </c>
    </row>
    <row r="41" customFormat="false" ht="15" hidden="false" customHeight="false" outlineLevel="0" collapsed="false">
      <c r="A41" s="4" t="n">
        <v>1030</v>
      </c>
      <c r="B41" s="5" t="n">
        <v>45715</v>
      </c>
      <c r="C41" s="4" t="s">
        <v>39</v>
      </c>
      <c r="D41" s="4" t="s">
        <v>25</v>
      </c>
      <c r="E41" s="4" t="s">
        <v>15</v>
      </c>
      <c r="F41" s="4" t="s">
        <v>31</v>
      </c>
      <c r="G41" s="4" t="s">
        <v>17</v>
      </c>
      <c r="H41" s="4" t="n">
        <v>1</v>
      </c>
      <c r="I41" s="6" t="n">
        <v>246.34</v>
      </c>
      <c r="J41" s="6" t="n">
        <f aca="false">H41*I41</f>
        <v>246.34</v>
      </c>
      <c r="K41" s="4" t="str">
        <f aca="false">CHOOSE(MONTH(B41),"Janeiro","Fevereiro","Março","Abril","Maio","Junho","Julho","Agosto","Setembro","Outubro","Novembro","Dezembro")</f>
        <v>Fevereiro</v>
      </c>
    </row>
    <row r="42" customFormat="false" ht="15" hidden="false" customHeight="false" outlineLevel="0" collapsed="false">
      <c r="A42" s="4" t="n">
        <v>1027</v>
      </c>
      <c r="B42" s="5" t="n">
        <v>45716</v>
      </c>
      <c r="C42" s="4" t="s">
        <v>26</v>
      </c>
      <c r="D42" s="4" t="s">
        <v>14</v>
      </c>
      <c r="E42" s="4" t="s">
        <v>15</v>
      </c>
      <c r="F42" s="4" t="s">
        <v>20</v>
      </c>
      <c r="G42" s="4" t="s">
        <v>23</v>
      </c>
      <c r="H42" s="4" t="n">
        <v>2</v>
      </c>
      <c r="I42" s="6" t="n">
        <v>142.86</v>
      </c>
      <c r="J42" s="6" t="n">
        <f aca="false">H42*I42</f>
        <v>285.72</v>
      </c>
      <c r="K42" s="4" t="str">
        <f aca="false">CHOOSE(MONTH(B42),"Janeiro","Fevereiro","Março","Abril","Maio","Junho","Julho","Agosto","Setembro","Outubro","Novembro","Dezembro")</f>
        <v>Fevereiro</v>
      </c>
    </row>
    <row r="43" customFormat="false" ht="15" hidden="false" customHeight="false" outlineLevel="0" collapsed="false">
      <c r="A43" s="4" t="n">
        <v>1038</v>
      </c>
      <c r="B43" s="5" t="n">
        <v>45716</v>
      </c>
      <c r="C43" s="4" t="s">
        <v>34</v>
      </c>
      <c r="D43" s="4" t="s">
        <v>35</v>
      </c>
      <c r="E43" s="4" t="s">
        <v>15</v>
      </c>
      <c r="F43" s="4" t="s">
        <v>16</v>
      </c>
      <c r="G43" s="4" t="s">
        <v>37</v>
      </c>
      <c r="H43" s="4" t="n">
        <v>1</v>
      </c>
      <c r="I43" s="6" t="n">
        <v>46.45</v>
      </c>
      <c r="J43" s="6" t="n">
        <f aca="false">H43*I43</f>
        <v>46.45</v>
      </c>
      <c r="K43" s="4" t="str">
        <f aca="false">CHOOSE(MONTH(B43),"Janeiro","Fevereiro","Março","Abril","Maio","Junho","Julho","Agosto","Setembro","Outubro","Novembro","Dezembro")</f>
        <v>Fevereiro</v>
      </c>
    </row>
    <row r="44" customFormat="false" ht="15" hidden="false" customHeight="false" outlineLevel="0" collapsed="false">
      <c r="A44" s="4" t="n">
        <v>1057</v>
      </c>
      <c r="B44" s="5" t="n">
        <v>45717</v>
      </c>
      <c r="C44" s="4" t="s">
        <v>32</v>
      </c>
      <c r="D44" s="4" t="s">
        <v>14</v>
      </c>
      <c r="E44" s="4" t="s">
        <v>15</v>
      </c>
      <c r="F44" s="4" t="s">
        <v>38</v>
      </c>
      <c r="G44" s="4" t="s">
        <v>17</v>
      </c>
      <c r="H44" s="4" t="n">
        <v>2</v>
      </c>
      <c r="I44" s="6" t="n">
        <v>349.26</v>
      </c>
      <c r="J44" s="6" t="n">
        <f aca="false">H44*I44</f>
        <v>698.52</v>
      </c>
      <c r="K44" s="4" t="str">
        <f aca="false">CHOOSE(MONTH(B44),"Janeiro","Fevereiro","Março","Abril","Maio","Junho","Julho","Agosto","Setembro","Outubro","Novembro","Dezembro")</f>
        <v>Março</v>
      </c>
    </row>
    <row r="45" customFormat="false" ht="15" hidden="false" customHeight="false" outlineLevel="0" collapsed="false">
      <c r="A45" s="4" t="n">
        <v>1054</v>
      </c>
      <c r="B45" s="5" t="n">
        <v>45718</v>
      </c>
      <c r="C45" s="4" t="s">
        <v>36</v>
      </c>
      <c r="D45" s="4" t="s">
        <v>14</v>
      </c>
      <c r="E45" s="4" t="s">
        <v>15</v>
      </c>
      <c r="F45" s="4" t="s">
        <v>20</v>
      </c>
      <c r="G45" s="4" t="s">
        <v>29</v>
      </c>
      <c r="H45" s="4" t="n">
        <v>2</v>
      </c>
      <c r="I45" s="6" t="n">
        <v>185.2</v>
      </c>
      <c r="J45" s="6" t="n">
        <f aca="false">H45*I45</f>
        <v>370.4</v>
      </c>
      <c r="K45" s="4" t="str">
        <f aca="false">CHOOSE(MONTH(B45),"Janeiro","Fevereiro","Março","Abril","Maio","Junho","Julho","Agosto","Setembro","Outubro","Novembro","Dezembro")</f>
        <v>Março</v>
      </c>
    </row>
    <row r="46" customFormat="false" ht="15" hidden="false" customHeight="false" outlineLevel="0" collapsed="false">
      <c r="A46" s="4" t="n">
        <v>1045</v>
      </c>
      <c r="B46" s="5" t="n">
        <v>45720</v>
      </c>
      <c r="C46" s="4" t="s">
        <v>22</v>
      </c>
      <c r="D46" s="4" t="s">
        <v>19</v>
      </c>
      <c r="E46" s="4" t="s">
        <v>15</v>
      </c>
      <c r="F46" s="4" t="s">
        <v>38</v>
      </c>
      <c r="G46" s="4" t="s">
        <v>23</v>
      </c>
      <c r="H46" s="4" t="n">
        <v>1</v>
      </c>
      <c r="I46" s="6" t="n">
        <v>4520.5</v>
      </c>
      <c r="J46" s="6" t="n">
        <f aca="false">H46*I46</f>
        <v>4520.5</v>
      </c>
      <c r="K46" s="4" t="str">
        <f aca="false">CHOOSE(MONTH(B46),"Janeiro","Fevereiro","Março","Abril","Maio","Junho","Julho","Agosto","Setembro","Outubro","Novembro","Dezembro")</f>
        <v>Março</v>
      </c>
    </row>
    <row r="47" customFormat="false" ht="15" hidden="false" customHeight="false" outlineLevel="0" collapsed="false">
      <c r="A47" s="4" t="n">
        <v>1046</v>
      </c>
      <c r="B47" s="5" t="n">
        <v>45722</v>
      </c>
      <c r="C47" s="4" t="s">
        <v>40</v>
      </c>
      <c r="D47" s="4" t="s">
        <v>14</v>
      </c>
      <c r="E47" s="4" t="s">
        <v>15</v>
      </c>
      <c r="F47" s="4" t="s">
        <v>31</v>
      </c>
      <c r="G47" s="4" t="s">
        <v>17</v>
      </c>
      <c r="H47" s="4" t="n">
        <v>1</v>
      </c>
      <c r="I47" s="6" t="n">
        <v>293.96</v>
      </c>
      <c r="J47" s="6" t="n">
        <f aca="false">H47*I47</f>
        <v>293.96</v>
      </c>
      <c r="K47" s="4" t="str">
        <f aca="false">CHOOSE(MONTH(B47),"Janeiro","Fevereiro","Março","Abril","Maio","Junho","Julho","Agosto","Setembro","Outubro","Novembro","Dezembro")</f>
        <v>Março</v>
      </c>
    </row>
    <row r="48" customFormat="false" ht="15" hidden="false" customHeight="false" outlineLevel="0" collapsed="false">
      <c r="A48" s="4" t="n">
        <v>1047</v>
      </c>
      <c r="B48" s="5" t="n">
        <v>45722</v>
      </c>
      <c r="C48" s="4" t="s">
        <v>40</v>
      </c>
      <c r="D48" s="4" t="s">
        <v>14</v>
      </c>
      <c r="E48" s="4" t="s">
        <v>15</v>
      </c>
      <c r="F48" s="4" t="s">
        <v>16</v>
      </c>
      <c r="G48" s="4" t="s">
        <v>37</v>
      </c>
      <c r="H48" s="4" t="n">
        <v>1</v>
      </c>
      <c r="I48" s="6" t="n">
        <v>275.16</v>
      </c>
      <c r="J48" s="6" t="n">
        <f aca="false">H48*I48</f>
        <v>275.16</v>
      </c>
      <c r="K48" s="4" t="str">
        <f aca="false">CHOOSE(MONTH(B48),"Janeiro","Fevereiro","Março","Abril","Maio","Junho","Julho","Agosto","Setembro","Outubro","Novembro","Dezembro")</f>
        <v>Março</v>
      </c>
    </row>
    <row r="49" customFormat="false" ht="15" hidden="false" customHeight="false" outlineLevel="0" collapsed="false">
      <c r="A49" s="4" t="n">
        <v>1043</v>
      </c>
      <c r="B49" s="5" t="n">
        <v>45724</v>
      </c>
      <c r="C49" s="4" t="s">
        <v>33</v>
      </c>
      <c r="D49" s="4" t="s">
        <v>25</v>
      </c>
      <c r="E49" s="4" t="s">
        <v>15</v>
      </c>
      <c r="F49" s="4" t="s">
        <v>16</v>
      </c>
      <c r="G49" s="4" t="s">
        <v>23</v>
      </c>
      <c r="H49" s="4" t="n">
        <v>1</v>
      </c>
      <c r="I49" s="6" t="n">
        <v>282.47</v>
      </c>
      <c r="J49" s="6" t="n">
        <f aca="false">H49*I49</f>
        <v>282.47</v>
      </c>
      <c r="K49" s="4" t="str">
        <f aca="false">CHOOSE(MONTH(B49),"Janeiro","Fevereiro","Março","Abril","Maio","Junho","Julho","Agosto","Setembro","Outubro","Novembro","Dezembro")</f>
        <v>Março</v>
      </c>
    </row>
    <row r="50" customFormat="false" ht="15" hidden="false" customHeight="false" outlineLevel="0" collapsed="false">
      <c r="A50" s="4" t="n">
        <v>1044</v>
      </c>
      <c r="B50" s="5" t="n">
        <v>45725</v>
      </c>
      <c r="C50" s="4" t="s">
        <v>32</v>
      </c>
      <c r="D50" s="4" t="s">
        <v>14</v>
      </c>
      <c r="E50" s="4" t="s">
        <v>15</v>
      </c>
      <c r="F50" s="4" t="s">
        <v>20</v>
      </c>
      <c r="G50" s="4" t="s">
        <v>29</v>
      </c>
      <c r="H50" s="4" t="n">
        <v>1</v>
      </c>
      <c r="I50" s="6" t="n">
        <v>332.41</v>
      </c>
      <c r="J50" s="6" t="n">
        <f aca="false">H50*I50</f>
        <v>332.41</v>
      </c>
      <c r="K50" s="4" t="str">
        <f aca="false">CHOOSE(MONTH(B50),"Janeiro","Fevereiro","Março","Abril","Maio","Junho","Julho","Agosto","Setembro","Outubro","Novembro","Dezembro")</f>
        <v>Março</v>
      </c>
    </row>
    <row r="51" customFormat="false" ht="15" hidden="false" customHeight="false" outlineLevel="0" collapsed="false">
      <c r="A51" s="4" t="n">
        <v>1062</v>
      </c>
      <c r="B51" s="5" t="n">
        <v>45725</v>
      </c>
      <c r="C51" s="4" t="s">
        <v>18</v>
      </c>
      <c r="D51" s="4" t="s">
        <v>19</v>
      </c>
      <c r="E51" s="4" t="s">
        <v>15</v>
      </c>
      <c r="F51" s="4" t="s">
        <v>16</v>
      </c>
      <c r="G51" s="4" t="s">
        <v>29</v>
      </c>
      <c r="H51" s="4" t="n">
        <v>1</v>
      </c>
      <c r="I51" s="6" t="n">
        <v>2795.25</v>
      </c>
      <c r="J51" s="6" t="n">
        <f aca="false">H51*I51</f>
        <v>2795.25</v>
      </c>
      <c r="K51" s="4" t="str">
        <f aca="false">CHOOSE(MONTH(B51),"Janeiro","Fevereiro","Março","Abril","Maio","Junho","Julho","Agosto","Setembro","Outubro","Novembro","Dezembro")</f>
        <v>Março</v>
      </c>
    </row>
    <row r="52" customFormat="false" ht="15" hidden="false" customHeight="false" outlineLevel="0" collapsed="false">
      <c r="A52" s="4" t="n">
        <v>1048</v>
      </c>
      <c r="B52" s="5" t="n">
        <v>45726</v>
      </c>
      <c r="C52" s="4" t="s">
        <v>40</v>
      </c>
      <c r="D52" s="4" t="s">
        <v>14</v>
      </c>
      <c r="E52" s="4" t="s">
        <v>15</v>
      </c>
      <c r="F52" s="4" t="s">
        <v>38</v>
      </c>
      <c r="G52" s="4" t="s">
        <v>29</v>
      </c>
      <c r="H52" s="4" t="n">
        <v>2</v>
      </c>
      <c r="I52" s="6" t="n">
        <v>302.16</v>
      </c>
      <c r="J52" s="6" t="n">
        <f aca="false">H52*I52</f>
        <v>604.32</v>
      </c>
      <c r="K52" s="4" t="str">
        <f aca="false">CHOOSE(MONTH(B52),"Janeiro","Fevereiro","Março","Abril","Maio","Junho","Julho","Agosto","Setembro","Outubro","Novembro","Dezembro")</f>
        <v>Março</v>
      </c>
    </row>
    <row r="53" customFormat="false" ht="15" hidden="false" customHeight="false" outlineLevel="0" collapsed="false">
      <c r="A53" s="4" t="n">
        <v>1055</v>
      </c>
      <c r="B53" s="5" t="n">
        <v>45727</v>
      </c>
      <c r="C53" s="4" t="s">
        <v>39</v>
      </c>
      <c r="D53" s="4" t="s">
        <v>25</v>
      </c>
      <c r="E53" s="4" t="s">
        <v>15</v>
      </c>
      <c r="F53" s="4" t="s">
        <v>16</v>
      </c>
      <c r="G53" s="4" t="s">
        <v>27</v>
      </c>
      <c r="H53" s="4" t="n">
        <v>2</v>
      </c>
      <c r="I53" s="6" t="n">
        <v>245.16</v>
      </c>
      <c r="J53" s="6" t="n">
        <f aca="false">H53*I53</f>
        <v>490.32</v>
      </c>
      <c r="K53" s="4" t="str">
        <f aca="false">CHOOSE(MONTH(B53),"Janeiro","Fevereiro","Março","Abril","Maio","Junho","Julho","Agosto","Setembro","Outubro","Novembro","Dezembro")</f>
        <v>Março</v>
      </c>
    </row>
    <row r="54" customFormat="false" ht="15" hidden="false" customHeight="false" outlineLevel="0" collapsed="false">
      <c r="A54" s="4" t="n">
        <v>1056</v>
      </c>
      <c r="B54" s="5" t="n">
        <v>45729</v>
      </c>
      <c r="C54" s="4" t="s">
        <v>24</v>
      </c>
      <c r="D54" s="4" t="s">
        <v>25</v>
      </c>
      <c r="E54" s="4" t="s">
        <v>15</v>
      </c>
      <c r="F54" s="4" t="s">
        <v>20</v>
      </c>
      <c r="G54" s="4" t="s">
        <v>17</v>
      </c>
      <c r="H54" s="4" t="n">
        <v>1</v>
      </c>
      <c r="I54" s="6" t="n">
        <v>452.29</v>
      </c>
      <c r="J54" s="6" t="n">
        <f aca="false">H54*I54</f>
        <v>452.29</v>
      </c>
      <c r="K54" s="4" t="str">
        <f aca="false">CHOOSE(MONTH(B54),"Janeiro","Fevereiro","Março","Abril","Maio","Junho","Julho","Agosto","Setembro","Outubro","Novembro","Dezembro")</f>
        <v>Março</v>
      </c>
    </row>
    <row r="55" customFormat="false" ht="15" hidden="false" customHeight="false" outlineLevel="0" collapsed="false">
      <c r="A55" s="4" t="n">
        <v>1041</v>
      </c>
      <c r="B55" s="5" t="n">
        <v>45730</v>
      </c>
      <c r="C55" s="4" t="s">
        <v>40</v>
      </c>
      <c r="D55" s="4" t="s">
        <v>14</v>
      </c>
      <c r="E55" s="4" t="s">
        <v>15</v>
      </c>
      <c r="F55" s="4" t="s">
        <v>16</v>
      </c>
      <c r="G55" s="4" t="s">
        <v>21</v>
      </c>
      <c r="H55" s="4" t="n">
        <v>2</v>
      </c>
      <c r="I55" s="6" t="n">
        <v>293.23</v>
      </c>
      <c r="J55" s="6" t="n">
        <f aca="false">H55*I55</f>
        <v>586.46</v>
      </c>
      <c r="K55" s="4" t="str">
        <f aca="false">CHOOSE(MONTH(B55),"Janeiro","Fevereiro","Março","Abril","Maio","Junho","Julho","Agosto","Setembro","Outubro","Novembro","Dezembro")</f>
        <v>Março</v>
      </c>
    </row>
    <row r="56" customFormat="false" ht="15" hidden="false" customHeight="false" outlineLevel="0" collapsed="false">
      <c r="A56" s="4" t="n">
        <v>1058</v>
      </c>
      <c r="B56" s="5" t="n">
        <v>45734</v>
      </c>
      <c r="C56" s="4" t="s">
        <v>33</v>
      </c>
      <c r="D56" s="4" t="s">
        <v>25</v>
      </c>
      <c r="E56" s="4" t="s">
        <v>15</v>
      </c>
      <c r="F56" s="4" t="s">
        <v>31</v>
      </c>
      <c r="G56" s="4" t="s">
        <v>17</v>
      </c>
      <c r="H56" s="4" t="n">
        <v>1</v>
      </c>
      <c r="I56" s="6" t="n">
        <v>294.74</v>
      </c>
      <c r="J56" s="6" t="n">
        <f aca="false">H56*I56</f>
        <v>294.74</v>
      </c>
      <c r="K56" s="4" t="str">
        <f aca="false">CHOOSE(MONTH(B56),"Janeiro","Fevereiro","Março","Abril","Maio","Junho","Julho","Agosto","Setembro","Outubro","Novembro","Dezembro")</f>
        <v>Março</v>
      </c>
    </row>
    <row r="57" customFormat="false" ht="15" hidden="false" customHeight="false" outlineLevel="0" collapsed="false">
      <c r="A57" s="4" t="n">
        <v>1050</v>
      </c>
      <c r="B57" s="5" t="n">
        <v>45735</v>
      </c>
      <c r="C57" s="4" t="s">
        <v>13</v>
      </c>
      <c r="D57" s="4" t="s">
        <v>14</v>
      </c>
      <c r="E57" s="4" t="s">
        <v>15</v>
      </c>
      <c r="F57" s="4" t="s">
        <v>16</v>
      </c>
      <c r="G57" s="4" t="s">
        <v>17</v>
      </c>
      <c r="H57" s="4" t="n">
        <v>2</v>
      </c>
      <c r="I57" s="6" t="n">
        <v>246.63</v>
      </c>
      <c r="J57" s="6" t="n">
        <f aca="false">H57*I57</f>
        <v>493.26</v>
      </c>
      <c r="K57" s="4" t="str">
        <f aca="false">CHOOSE(MONTH(B57),"Janeiro","Fevereiro","Março","Abril","Maio","Junho","Julho","Agosto","Setembro","Outubro","Novembro","Dezembro")</f>
        <v>Março</v>
      </c>
    </row>
    <row r="58" customFormat="false" ht="15" hidden="false" customHeight="false" outlineLevel="0" collapsed="false">
      <c r="A58" s="4" t="n">
        <v>1051</v>
      </c>
      <c r="B58" s="5" t="n">
        <v>45735</v>
      </c>
      <c r="C58" s="4" t="s">
        <v>32</v>
      </c>
      <c r="D58" s="4" t="s">
        <v>14</v>
      </c>
      <c r="E58" s="4" t="s">
        <v>15</v>
      </c>
      <c r="F58" s="4" t="s">
        <v>20</v>
      </c>
      <c r="G58" s="4" t="s">
        <v>17</v>
      </c>
      <c r="H58" s="4" t="n">
        <v>3</v>
      </c>
      <c r="I58" s="6" t="n">
        <v>343.89</v>
      </c>
      <c r="J58" s="6" t="n">
        <f aca="false">H58*I58</f>
        <v>1031.67</v>
      </c>
      <c r="K58" s="4" t="str">
        <f aca="false">CHOOSE(MONTH(B58),"Janeiro","Fevereiro","Março","Abril","Maio","Junho","Julho","Agosto","Setembro","Outubro","Novembro","Dezembro")</f>
        <v>Março</v>
      </c>
    </row>
    <row r="59" customFormat="false" ht="15" hidden="false" customHeight="false" outlineLevel="0" collapsed="false">
      <c r="A59" s="4" t="n">
        <v>1042</v>
      </c>
      <c r="B59" s="5" t="n">
        <v>45737</v>
      </c>
      <c r="C59" s="4" t="s">
        <v>18</v>
      </c>
      <c r="D59" s="4" t="s">
        <v>19</v>
      </c>
      <c r="E59" s="4" t="s">
        <v>15</v>
      </c>
      <c r="F59" s="4" t="s">
        <v>28</v>
      </c>
      <c r="G59" s="4" t="s">
        <v>17</v>
      </c>
      <c r="H59" s="4" t="n">
        <v>1</v>
      </c>
      <c r="I59" s="6" t="n">
        <v>2504.35</v>
      </c>
      <c r="J59" s="6" t="n">
        <f aca="false">H59*I59</f>
        <v>2504.35</v>
      </c>
      <c r="K59" s="4" t="str">
        <f aca="false">CHOOSE(MONTH(B59),"Janeiro","Fevereiro","Março","Abril","Maio","Junho","Julho","Agosto","Setembro","Outubro","Novembro","Dezembro")</f>
        <v>Março</v>
      </c>
    </row>
    <row r="60" customFormat="false" ht="15" hidden="false" customHeight="false" outlineLevel="0" collapsed="false">
      <c r="A60" s="4" t="n">
        <v>1049</v>
      </c>
      <c r="B60" s="5" t="n">
        <v>45738</v>
      </c>
      <c r="C60" s="4" t="s">
        <v>13</v>
      </c>
      <c r="D60" s="4" t="s">
        <v>14</v>
      </c>
      <c r="E60" s="4" t="s">
        <v>15</v>
      </c>
      <c r="F60" s="4" t="s">
        <v>16</v>
      </c>
      <c r="G60" s="4" t="s">
        <v>17</v>
      </c>
      <c r="H60" s="4" t="n">
        <v>1</v>
      </c>
      <c r="I60" s="6" t="n">
        <v>244.83</v>
      </c>
      <c r="J60" s="6" t="n">
        <f aca="false">H60*I60</f>
        <v>244.83</v>
      </c>
      <c r="K60" s="4" t="str">
        <f aca="false">CHOOSE(MONTH(B60),"Janeiro","Fevereiro","Março","Abril","Maio","Junho","Julho","Agosto","Setembro","Outubro","Novembro","Dezembro")</f>
        <v>Março</v>
      </c>
    </row>
    <row r="61" customFormat="false" ht="15" hidden="false" customHeight="false" outlineLevel="0" collapsed="false">
      <c r="A61" s="4" t="n">
        <v>1053</v>
      </c>
      <c r="B61" s="5" t="n">
        <v>45738</v>
      </c>
      <c r="C61" s="4" t="s">
        <v>33</v>
      </c>
      <c r="D61" s="4" t="s">
        <v>25</v>
      </c>
      <c r="E61" s="4" t="s">
        <v>15</v>
      </c>
      <c r="F61" s="4" t="s">
        <v>16</v>
      </c>
      <c r="G61" s="4" t="s">
        <v>29</v>
      </c>
      <c r="H61" s="4" t="n">
        <v>2</v>
      </c>
      <c r="I61" s="6" t="n">
        <v>290.77</v>
      </c>
      <c r="J61" s="6" t="n">
        <f aca="false">H61*I61</f>
        <v>581.54</v>
      </c>
      <c r="K61" s="4" t="str">
        <f aca="false">CHOOSE(MONTH(B61),"Janeiro","Fevereiro","Março","Abril","Maio","Junho","Julho","Agosto","Setembro","Outubro","Novembro","Dezembro")</f>
        <v>Março</v>
      </c>
    </row>
    <row r="62" customFormat="false" ht="15" hidden="false" customHeight="false" outlineLevel="0" collapsed="false">
      <c r="A62" s="4" t="n">
        <v>1061</v>
      </c>
      <c r="B62" s="5" t="n">
        <v>45738</v>
      </c>
      <c r="C62" s="4" t="s">
        <v>30</v>
      </c>
      <c r="D62" s="4" t="s">
        <v>14</v>
      </c>
      <c r="E62" s="4" t="s">
        <v>15</v>
      </c>
      <c r="F62" s="4" t="s">
        <v>16</v>
      </c>
      <c r="G62" s="4" t="s">
        <v>23</v>
      </c>
      <c r="H62" s="4" t="n">
        <v>2</v>
      </c>
      <c r="I62" s="6" t="n">
        <v>238.77</v>
      </c>
      <c r="J62" s="6" t="n">
        <f aca="false">H62*I62</f>
        <v>477.54</v>
      </c>
      <c r="K62" s="4" t="str">
        <f aca="false">CHOOSE(MONTH(B62),"Janeiro","Fevereiro","Março","Abril","Maio","Junho","Julho","Agosto","Setembro","Outubro","Novembro","Dezembro")</f>
        <v>Março</v>
      </c>
    </row>
    <row r="63" customFormat="false" ht="15" hidden="false" customHeight="false" outlineLevel="0" collapsed="false">
      <c r="A63" s="4" t="n">
        <v>1060</v>
      </c>
      <c r="B63" s="5" t="n">
        <v>45739</v>
      </c>
      <c r="C63" s="4" t="s">
        <v>39</v>
      </c>
      <c r="D63" s="4" t="s">
        <v>25</v>
      </c>
      <c r="E63" s="4" t="s">
        <v>15</v>
      </c>
      <c r="F63" s="4" t="s">
        <v>28</v>
      </c>
      <c r="G63" s="4" t="s">
        <v>17</v>
      </c>
      <c r="H63" s="4" t="n">
        <v>3</v>
      </c>
      <c r="I63" s="6" t="n">
        <v>258.88</v>
      </c>
      <c r="J63" s="6" t="n">
        <f aca="false">H63*I63</f>
        <v>776.64</v>
      </c>
      <c r="K63" s="4" t="str">
        <f aca="false">CHOOSE(MONTH(B63),"Janeiro","Fevereiro","Março","Abril","Maio","Junho","Julho","Agosto","Setembro","Outubro","Novembro","Dezembro")</f>
        <v>Março</v>
      </c>
    </row>
    <row r="64" customFormat="false" ht="15" hidden="false" customHeight="false" outlineLevel="0" collapsed="false">
      <c r="A64" s="4" t="n">
        <v>1040</v>
      </c>
      <c r="B64" s="5" t="n">
        <v>45742</v>
      </c>
      <c r="C64" s="4" t="s">
        <v>40</v>
      </c>
      <c r="D64" s="4" t="s">
        <v>14</v>
      </c>
      <c r="E64" s="4" t="s">
        <v>15</v>
      </c>
      <c r="F64" s="4" t="s">
        <v>28</v>
      </c>
      <c r="G64" s="4" t="s">
        <v>27</v>
      </c>
      <c r="H64" s="4" t="n">
        <v>1</v>
      </c>
      <c r="I64" s="6" t="n">
        <v>282.48</v>
      </c>
      <c r="J64" s="6" t="n">
        <f aca="false">H64*I64</f>
        <v>282.48</v>
      </c>
      <c r="K64" s="4" t="str">
        <f aca="false">CHOOSE(MONTH(B64),"Janeiro","Fevereiro","Março","Abril","Maio","Junho","Julho","Agosto","Setembro","Outubro","Novembro","Dezembro")</f>
        <v>Março</v>
      </c>
    </row>
    <row r="65" customFormat="false" ht="15" hidden="false" customHeight="false" outlineLevel="0" collapsed="false">
      <c r="A65" s="4" t="n">
        <v>1059</v>
      </c>
      <c r="B65" s="5" t="n">
        <v>45745</v>
      </c>
      <c r="C65" s="4" t="s">
        <v>33</v>
      </c>
      <c r="D65" s="4" t="s">
        <v>25</v>
      </c>
      <c r="E65" s="4" t="s">
        <v>15</v>
      </c>
      <c r="F65" s="4" t="s">
        <v>20</v>
      </c>
      <c r="G65" s="4" t="s">
        <v>29</v>
      </c>
      <c r="H65" s="4" t="n">
        <v>1</v>
      </c>
      <c r="I65" s="6" t="n">
        <v>289.44</v>
      </c>
      <c r="J65" s="6" t="n">
        <f aca="false">H65*I65</f>
        <v>289.44</v>
      </c>
      <c r="K65" s="4" t="str">
        <f aca="false">CHOOSE(MONTH(B65),"Janeiro","Fevereiro","Março","Abril","Maio","Junho","Julho","Agosto","Setembro","Outubro","Novembro","Dezembro")</f>
        <v>Março</v>
      </c>
    </row>
    <row r="66" customFormat="false" ht="15" hidden="false" customHeight="false" outlineLevel="0" collapsed="false">
      <c r="A66" s="4" t="n">
        <v>1052</v>
      </c>
      <c r="B66" s="5" t="n">
        <v>45747</v>
      </c>
      <c r="C66" s="4" t="s">
        <v>30</v>
      </c>
      <c r="D66" s="4" t="s">
        <v>14</v>
      </c>
      <c r="E66" s="4" t="s">
        <v>15</v>
      </c>
      <c r="F66" s="4" t="s">
        <v>16</v>
      </c>
      <c r="G66" s="4" t="s">
        <v>17</v>
      </c>
      <c r="H66" s="4" t="n">
        <v>1</v>
      </c>
      <c r="I66" s="6" t="n">
        <v>231.67</v>
      </c>
      <c r="J66" s="6" t="n">
        <f aca="false">H66*I66</f>
        <v>231.67</v>
      </c>
      <c r="K66" s="4" t="str">
        <f aca="false">CHOOSE(MONTH(B66),"Janeiro","Fevereiro","Março","Abril","Maio","Junho","Julho","Agosto","Setembro","Outubro","Novembro","Dezembro")</f>
        <v>Março</v>
      </c>
    </row>
    <row r="67" customFormat="false" ht="15" hidden="false" customHeight="false" outlineLevel="0" collapsed="false">
      <c r="A67" s="4" t="n">
        <v>1067</v>
      </c>
      <c r="B67" s="5" t="n">
        <v>45748</v>
      </c>
      <c r="C67" s="4" t="s">
        <v>18</v>
      </c>
      <c r="D67" s="4" t="s">
        <v>19</v>
      </c>
      <c r="E67" s="4" t="s">
        <v>15</v>
      </c>
      <c r="F67" s="4" t="s">
        <v>20</v>
      </c>
      <c r="G67" s="4" t="s">
        <v>27</v>
      </c>
      <c r="H67" s="4" t="n">
        <v>1</v>
      </c>
      <c r="I67" s="6" t="n">
        <v>2509.48</v>
      </c>
      <c r="J67" s="6" t="n">
        <f aca="false">H67*I67</f>
        <v>2509.48</v>
      </c>
      <c r="K67" s="4" t="str">
        <f aca="false">CHOOSE(MONTH(B67),"Janeiro","Fevereiro","Março","Abril","Maio","Junho","Julho","Agosto","Setembro","Outubro","Novembro","Dezembro")</f>
        <v>Abril</v>
      </c>
    </row>
    <row r="68" customFormat="false" ht="15" hidden="false" customHeight="false" outlineLevel="0" collapsed="false">
      <c r="A68" s="4" t="n">
        <v>1079</v>
      </c>
      <c r="B68" s="5" t="n">
        <v>45749</v>
      </c>
      <c r="C68" s="4" t="s">
        <v>18</v>
      </c>
      <c r="D68" s="4" t="s">
        <v>19</v>
      </c>
      <c r="E68" s="4" t="s">
        <v>15</v>
      </c>
      <c r="F68" s="4" t="s">
        <v>28</v>
      </c>
      <c r="G68" s="4" t="s">
        <v>27</v>
      </c>
      <c r="H68" s="4" t="n">
        <v>1</v>
      </c>
      <c r="I68" s="6" t="n">
        <v>2692.4</v>
      </c>
      <c r="J68" s="6" t="n">
        <f aca="false">H68*I68</f>
        <v>2692.4</v>
      </c>
      <c r="K68" s="4" t="str">
        <f aca="false">CHOOSE(MONTH(B68),"Janeiro","Fevereiro","Março","Abril","Maio","Junho","Julho","Agosto","Setembro","Outubro","Novembro","Dezembro")</f>
        <v>Abril</v>
      </c>
    </row>
    <row r="69" customFormat="false" ht="15" hidden="false" customHeight="false" outlineLevel="0" collapsed="false">
      <c r="A69" s="4" t="n">
        <v>1070</v>
      </c>
      <c r="B69" s="5" t="n">
        <v>45751</v>
      </c>
      <c r="C69" s="4" t="s">
        <v>34</v>
      </c>
      <c r="D69" s="4" t="s">
        <v>35</v>
      </c>
      <c r="E69" s="4" t="s">
        <v>15</v>
      </c>
      <c r="F69" s="4" t="s">
        <v>20</v>
      </c>
      <c r="G69" s="4" t="s">
        <v>29</v>
      </c>
      <c r="H69" s="4" t="n">
        <v>3</v>
      </c>
      <c r="I69" s="6" t="n">
        <v>51.06</v>
      </c>
      <c r="J69" s="6" t="n">
        <f aca="false">H69*I69</f>
        <v>153.18</v>
      </c>
      <c r="K69" s="4" t="str">
        <f aca="false">CHOOSE(MONTH(B69),"Janeiro","Fevereiro","Março","Abril","Maio","Junho","Julho","Agosto","Setembro","Outubro","Novembro","Dezembro")</f>
        <v>Abril</v>
      </c>
    </row>
    <row r="70" customFormat="false" ht="15" hidden="false" customHeight="false" outlineLevel="0" collapsed="false">
      <c r="A70" s="4" t="n">
        <v>1081</v>
      </c>
      <c r="B70" s="5" t="n">
        <v>45754</v>
      </c>
      <c r="C70" s="4" t="s">
        <v>39</v>
      </c>
      <c r="D70" s="4" t="s">
        <v>25</v>
      </c>
      <c r="E70" s="4" t="s">
        <v>15</v>
      </c>
      <c r="F70" s="4" t="s">
        <v>16</v>
      </c>
      <c r="G70" s="4" t="s">
        <v>29</v>
      </c>
      <c r="H70" s="4" t="n">
        <v>1</v>
      </c>
      <c r="I70" s="6" t="n">
        <v>239.77</v>
      </c>
      <c r="J70" s="6" t="n">
        <f aca="false">H70*I70</f>
        <v>239.77</v>
      </c>
      <c r="K70" s="4" t="str">
        <f aca="false">CHOOSE(MONTH(B70),"Janeiro","Fevereiro","Março","Abril","Maio","Junho","Julho","Agosto","Setembro","Outubro","Novembro","Dezembro")</f>
        <v>Abril</v>
      </c>
    </row>
    <row r="71" customFormat="false" ht="15" hidden="false" customHeight="false" outlineLevel="0" collapsed="false">
      <c r="A71" s="4" t="n">
        <v>1075</v>
      </c>
      <c r="B71" s="5" t="n">
        <v>45755</v>
      </c>
      <c r="C71" s="4" t="s">
        <v>33</v>
      </c>
      <c r="D71" s="4" t="s">
        <v>25</v>
      </c>
      <c r="E71" s="4" t="s">
        <v>15</v>
      </c>
      <c r="F71" s="4" t="s">
        <v>16</v>
      </c>
      <c r="G71" s="4" t="s">
        <v>23</v>
      </c>
      <c r="H71" s="4" t="n">
        <v>1</v>
      </c>
      <c r="I71" s="6" t="n">
        <v>306.82</v>
      </c>
      <c r="J71" s="6" t="n">
        <f aca="false">H71*I71</f>
        <v>306.82</v>
      </c>
      <c r="K71" s="4" t="str">
        <f aca="false">CHOOSE(MONTH(B71),"Janeiro","Fevereiro","Março","Abril","Maio","Junho","Julho","Agosto","Setembro","Outubro","Novembro","Dezembro")</f>
        <v>Abril</v>
      </c>
    </row>
    <row r="72" customFormat="false" ht="15" hidden="false" customHeight="false" outlineLevel="0" collapsed="false">
      <c r="A72" s="4" t="n">
        <v>1076</v>
      </c>
      <c r="B72" s="5" t="n">
        <v>45755</v>
      </c>
      <c r="C72" s="4" t="s">
        <v>22</v>
      </c>
      <c r="D72" s="4" t="s">
        <v>19</v>
      </c>
      <c r="E72" s="4" t="s">
        <v>15</v>
      </c>
      <c r="F72" s="4" t="s">
        <v>16</v>
      </c>
      <c r="G72" s="4" t="s">
        <v>17</v>
      </c>
      <c r="H72" s="4" t="n">
        <v>2</v>
      </c>
      <c r="I72" s="6" t="n">
        <v>4525.11</v>
      </c>
      <c r="J72" s="6" t="n">
        <f aca="false">H72*I72</f>
        <v>9050.22</v>
      </c>
      <c r="K72" s="4" t="str">
        <f aca="false">CHOOSE(MONTH(B72),"Janeiro","Fevereiro","Março","Abril","Maio","Junho","Julho","Agosto","Setembro","Outubro","Novembro","Dezembro")</f>
        <v>Abril</v>
      </c>
    </row>
    <row r="73" customFormat="false" ht="15" hidden="false" customHeight="false" outlineLevel="0" collapsed="false">
      <c r="A73" s="4" t="n">
        <v>1066</v>
      </c>
      <c r="B73" s="5" t="n">
        <v>45756</v>
      </c>
      <c r="C73" s="4" t="s">
        <v>24</v>
      </c>
      <c r="D73" s="4" t="s">
        <v>25</v>
      </c>
      <c r="E73" s="4" t="s">
        <v>15</v>
      </c>
      <c r="F73" s="4" t="s">
        <v>28</v>
      </c>
      <c r="G73" s="4" t="s">
        <v>29</v>
      </c>
      <c r="H73" s="4" t="n">
        <v>2</v>
      </c>
      <c r="I73" s="6" t="n">
        <v>456.35</v>
      </c>
      <c r="J73" s="6" t="n">
        <f aca="false">H73*I73</f>
        <v>912.7</v>
      </c>
      <c r="K73" s="4" t="str">
        <f aca="false">CHOOSE(MONTH(B73),"Janeiro","Fevereiro","Março","Abril","Maio","Junho","Julho","Agosto","Setembro","Outubro","Novembro","Dezembro")</f>
        <v>Abril</v>
      </c>
    </row>
    <row r="74" customFormat="false" ht="15" hidden="false" customHeight="false" outlineLevel="0" collapsed="false">
      <c r="A74" s="4" t="n">
        <v>1078</v>
      </c>
      <c r="B74" s="5" t="n">
        <v>45758</v>
      </c>
      <c r="C74" s="4" t="s">
        <v>22</v>
      </c>
      <c r="D74" s="4" t="s">
        <v>19</v>
      </c>
      <c r="E74" s="4" t="s">
        <v>15</v>
      </c>
      <c r="F74" s="4" t="s">
        <v>16</v>
      </c>
      <c r="G74" s="4" t="s">
        <v>27</v>
      </c>
      <c r="H74" s="4" t="n">
        <v>1</v>
      </c>
      <c r="I74" s="6" t="n">
        <v>4206.54</v>
      </c>
      <c r="J74" s="6" t="n">
        <f aca="false">H74*I74</f>
        <v>4206.54</v>
      </c>
      <c r="K74" s="4" t="str">
        <f aca="false">CHOOSE(MONTH(B74),"Janeiro","Fevereiro","Março","Abril","Maio","Junho","Julho","Agosto","Setembro","Outubro","Novembro","Dezembro")</f>
        <v>Abril</v>
      </c>
    </row>
    <row r="75" customFormat="false" ht="15" hidden="false" customHeight="false" outlineLevel="0" collapsed="false">
      <c r="A75" s="4" t="n">
        <v>1065</v>
      </c>
      <c r="B75" s="5" t="n">
        <v>45761</v>
      </c>
      <c r="C75" s="4" t="s">
        <v>39</v>
      </c>
      <c r="D75" s="4" t="s">
        <v>25</v>
      </c>
      <c r="E75" s="4" t="s">
        <v>15</v>
      </c>
      <c r="F75" s="4" t="s">
        <v>28</v>
      </c>
      <c r="G75" s="4" t="s">
        <v>21</v>
      </c>
      <c r="H75" s="4" t="n">
        <v>1</v>
      </c>
      <c r="I75" s="6" t="n">
        <v>239.76</v>
      </c>
      <c r="J75" s="6" t="n">
        <f aca="false">H75*I75</f>
        <v>239.76</v>
      </c>
      <c r="K75" s="4" t="str">
        <f aca="false">CHOOSE(MONTH(B75),"Janeiro","Fevereiro","Março","Abril","Maio","Junho","Julho","Agosto","Setembro","Outubro","Novembro","Dezembro")</f>
        <v>Abril</v>
      </c>
    </row>
    <row r="76" customFormat="false" ht="15" hidden="false" customHeight="false" outlineLevel="0" collapsed="false">
      <c r="A76" s="4" t="n">
        <v>1080</v>
      </c>
      <c r="B76" s="5" t="n">
        <v>45761</v>
      </c>
      <c r="C76" s="4" t="s">
        <v>36</v>
      </c>
      <c r="D76" s="4" t="s">
        <v>14</v>
      </c>
      <c r="E76" s="4" t="s">
        <v>15</v>
      </c>
      <c r="F76" s="4" t="s">
        <v>16</v>
      </c>
      <c r="G76" s="4" t="s">
        <v>29</v>
      </c>
      <c r="H76" s="4" t="n">
        <v>1</v>
      </c>
      <c r="I76" s="6" t="n">
        <v>208.54</v>
      </c>
      <c r="J76" s="6" t="n">
        <f aca="false">H76*I76</f>
        <v>208.54</v>
      </c>
      <c r="K76" s="4" t="str">
        <f aca="false">CHOOSE(MONTH(B76),"Janeiro","Fevereiro","Março","Abril","Maio","Junho","Julho","Agosto","Setembro","Outubro","Novembro","Dezembro")</f>
        <v>Abril</v>
      </c>
    </row>
    <row r="77" customFormat="false" ht="15" hidden="false" customHeight="false" outlineLevel="0" collapsed="false">
      <c r="A77" s="4" t="n">
        <v>1083</v>
      </c>
      <c r="B77" s="5" t="n">
        <v>45761</v>
      </c>
      <c r="C77" s="4" t="s">
        <v>18</v>
      </c>
      <c r="D77" s="4" t="s">
        <v>19</v>
      </c>
      <c r="E77" s="4" t="s">
        <v>15</v>
      </c>
      <c r="F77" s="4" t="s">
        <v>28</v>
      </c>
      <c r="G77" s="4" t="s">
        <v>21</v>
      </c>
      <c r="H77" s="4" t="n">
        <v>1</v>
      </c>
      <c r="I77" s="6" t="n">
        <v>2816.01</v>
      </c>
      <c r="J77" s="6" t="n">
        <f aca="false">H77*I77</f>
        <v>2816.01</v>
      </c>
      <c r="K77" s="4" t="str">
        <f aca="false">CHOOSE(MONTH(B77),"Janeiro","Fevereiro","Março","Abril","Maio","Junho","Julho","Agosto","Setembro","Outubro","Novembro","Dezembro")</f>
        <v>Abril</v>
      </c>
    </row>
    <row r="78" customFormat="false" ht="15" hidden="false" customHeight="false" outlineLevel="0" collapsed="false">
      <c r="A78" s="4" t="n">
        <v>1064</v>
      </c>
      <c r="B78" s="5" t="n">
        <v>45763</v>
      </c>
      <c r="C78" s="4" t="s">
        <v>39</v>
      </c>
      <c r="D78" s="4" t="s">
        <v>25</v>
      </c>
      <c r="E78" s="4" t="s">
        <v>15</v>
      </c>
      <c r="F78" s="4" t="s">
        <v>16</v>
      </c>
      <c r="G78" s="4" t="s">
        <v>21</v>
      </c>
      <c r="H78" s="4" t="n">
        <v>3</v>
      </c>
      <c r="I78" s="6" t="n">
        <v>268.76</v>
      </c>
      <c r="J78" s="6" t="n">
        <f aca="false">H78*I78</f>
        <v>806.28</v>
      </c>
      <c r="K78" s="4" t="str">
        <f aca="false">CHOOSE(MONTH(B78),"Janeiro","Fevereiro","Março","Abril","Maio","Junho","Julho","Agosto","Setembro","Outubro","Novembro","Dezembro")</f>
        <v>Abril</v>
      </c>
    </row>
    <row r="79" customFormat="false" ht="15" hidden="false" customHeight="false" outlineLevel="0" collapsed="false">
      <c r="A79" s="4" t="n">
        <v>1068</v>
      </c>
      <c r="B79" s="5" t="n">
        <v>45766</v>
      </c>
      <c r="C79" s="4" t="s">
        <v>30</v>
      </c>
      <c r="D79" s="4" t="s">
        <v>14</v>
      </c>
      <c r="E79" s="4" t="s">
        <v>15</v>
      </c>
      <c r="F79" s="4" t="s">
        <v>16</v>
      </c>
      <c r="G79" s="4" t="s">
        <v>27</v>
      </c>
      <c r="H79" s="4" t="n">
        <v>1</v>
      </c>
      <c r="I79" s="6" t="n">
        <v>233.87</v>
      </c>
      <c r="J79" s="6" t="n">
        <f aca="false">H79*I79</f>
        <v>233.87</v>
      </c>
      <c r="K79" s="4" t="str">
        <f aca="false">CHOOSE(MONTH(B79),"Janeiro","Fevereiro","Março","Abril","Maio","Junho","Julho","Agosto","Setembro","Outubro","Novembro","Dezembro")</f>
        <v>Abril</v>
      </c>
    </row>
    <row r="80" customFormat="false" ht="15" hidden="false" customHeight="false" outlineLevel="0" collapsed="false">
      <c r="A80" s="4" t="n">
        <v>1082</v>
      </c>
      <c r="B80" s="5" t="n">
        <v>45769</v>
      </c>
      <c r="C80" s="4" t="s">
        <v>13</v>
      </c>
      <c r="D80" s="4" t="s">
        <v>14</v>
      </c>
      <c r="E80" s="4" t="s">
        <v>15</v>
      </c>
      <c r="F80" s="4" t="s">
        <v>28</v>
      </c>
      <c r="G80" s="4" t="s">
        <v>27</v>
      </c>
      <c r="H80" s="4" t="n">
        <v>2</v>
      </c>
      <c r="I80" s="6" t="n">
        <v>259.52</v>
      </c>
      <c r="J80" s="6" t="n">
        <f aca="false">H80*I80</f>
        <v>519.04</v>
      </c>
      <c r="K80" s="4" t="str">
        <f aca="false">CHOOSE(MONTH(B80),"Janeiro","Fevereiro","Março","Abril","Maio","Junho","Julho","Agosto","Setembro","Outubro","Novembro","Dezembro")</f>
        <v>Abril</v>
      </c>
    </row>
    <row r="81" customFormat="false" ht="15" hidden="false" customHeight="false" outlineLevel="0" collapsed="false">
      <c r="A81" s="4" t="n">
        <v>1063</v>
      </c>
      <c r="B81" s="5" t="n">
        <v>45770</v>
      </c>
      <c r="C81" s="4" t="s">
        <v>34</v>
      </c>
      <c r="D81" s="4" t="s">
        <v>35</v>
      </c>
      <c r="E81" s="4" t="s">
        <v>15</v>
      </c>
      <c r="F81" s="4" t="s">
        <v>31</v>
      </c>
      <c r="G81" s="4" t="s">
        <v>29</v>
      </c>
      <c r="H81" s="4" t="n">
        <v>2</v>
      </c>
      <c r="I81" s="6" t="n">
        <v>47.31</v>
      </c>
      <c r="J81" s="6" t="n">
        <f aca="false">H81*I81</f>
        <v>94.62</v>
      </c>
      <c r="K81" s="4" t="str">
        <f aca="false">CHOOSE(MONTH(B81),"Janeiro","Fevereiro","Março","Abril","Maio","Junho","Julho","Agosto","Setembro","Outubro","Novembro","Dezembro")</f>
        <v>Abril</v>
      </c>
    </row>
    <row r="82" customFormat="false" ht="15" hidden="false" customHeight="false" outlineLevel="0" collapsed="false">
      <c r="A82" s="4" t="n">
        <v>1071</v>
      </c>
      <c r="B82" s="5" t="n">
        <v>45771</v>
      </c>
      <c r="C82" s="4" t="s">
        <v>24</v>
      </c>
      <c r="D82" s="4" t="s">
        <v>25</v>
      </c>
      <c r="E82" s="4" t="s">
        <v>15</v>
      </c>
      <c r="F82" s="4" t="s">
        <v>31</v>
      </c>
      <c r="G82" s="4" t="s">
        <v>23</v>
      </c>
      <c r="H82" s="4" t="n">
        <v>1</v>
      </c>
      <c r="I82" s="6" t="n">
        <v>467.12</v>
      </c>
      <c r="J82" s="6" t="n">
        <f aca="false">H82*I82</f>
        <v>467.12</v>
      </c>
      <c r="K82" s="4" t="str">
        <f aca="false">CHOOSE(MONTH(B82),"Janeiro","Fevereiro","Março","Abril","Maio","Junho","Julho","Agosto","Setembro","Outubro","Novembro","Dezembro")</f>
        <v>Abril</v>
      </c>
    </row>
    <row r="83" customFormat="false" ht="15" hidden="false" customHeight="false" outlineLevel="0" collapsed="false">
      <c r="A83" s="4" t="n">
        <v>1077</v>
      </c>
      <c r="B83" s="5" t="n">
        <v>45772</v>
      </c>
      <c r="C83" s="4" t="s">
        <v>39</v>
      </c>
      <c r="D83" s="4" t="s">
        <v>25</v>
      </c>
      <c r="E83" s="4" t="s">
        <v>15</v>
      </c>
      <c r="F83" s="4" t="s">
        <v>16</v>
      </c>
      <c r="G83" s="4" t="s">
        <v>29</v>
      </c>
      <c r="H83" s="4" t="n">
        <v>2</v>
      </c>
      <c r="I83" s="6" t="n">
        <v>250.1</v>
      </c>
      <c r="J83" s="6" t="n">
        <f aca="false">H83*I83</f>
        <v>500.2</v>
      </c>
      <c r="K83" s="4" t="str">
        <f aca="false">CHOOSE(MONTH(B83),"Janeiro","Fevereiro","Março","Abril","Maio","Junho","Julho","Agosto","Setembro","Outubro","Novembro","Dezembro")</f>
        <v>Abril</v>
      </c>
    </row>
    <row r="84" customFormat="false" ht="15" hidden="false" customHeight="false" outlineLevel="0" collapsed="false">
      <c r="A84" s="4" t="n">
        <v>1073</v>
      </c>
      <c r="B84" s="5" t="n">
        <v>45773</v>
      </c>
      <c r="C84" s="4" t="s">
        <v>26</v>
      </c>
      <c r="D84" s="4" t="s">
        <v>14</v>
      </c>
      <c r="E84" s="4" t="s">
        <v>15</v>
      </c>
      <c r="F84" s="4" t="s">
        <v>16</v>
      </c>
      <c r="G84" s="4" t="s">
        <v>23</v>
      </c>
      <c r="H84" s="4" t="n">
        <v>3</v>
      </c>
      <c r="I84" s="6" t="n">
        <v>153.82</v>
      </c>
      <c r="J84" s="6" t="n">
        <f aca="false">H84*I84</f>
        <v>461.46</v>
      </c>
      <c r="K84" s="4" t="str">
        <f aca="false">CHOOSE(MONTH(B84),"Janeiro","Fevereiro","Março","Abril","Maio","Junho","Julho","Agosto","Setembro","Outubro","Novembro","Dezembro")</f>
        <v>Abril</v>
      </c>
    </row>
    <row r="85" customFormat="false" ht="15" hidden="false" customHeight="false" outlineLevel="0" collapsed="false">
      <c r="A85" s="4" t="n">
        <v>1074</v>
      </c>
      <c r="B85" s="5" t="n">
        <v>45773</v>
      </c>
      <c r="C85" s="4" t="s">
        <v>13</v>
      </c>
      <c r="D85" s="4" t="s">
        <v>14</v>
      </c>
      <c r="E85" s="4" t="s">
        <v>15</v>
      </c>
      <c r="F85" s="4" t="s">
        <v>16</v>
      </c>
      <c r="G85" s="4" t="s">
        <v>37</v>
      </c>
      <c r="H85" s="4" t="n">
        <v>3</v>
      </c>
      <c r="I85" s="6" t="n">
        <v>232.58</v>
      </c>
      <c r="J85" s="6" t="n">
        <f aca="false">H85*I85</f>
        <v>697.74</v>
      </c>
      <c r="K85" s="4" t="str">
        <f aca="false">CHOOSE(MONTH(B85),"Janeiro","Fevereiro","Março","Abril","Maio","Junho","Julho","Agosto","Setembro","Outubro","Novembro","Dezembro")</f>
        <v>Abril</v>
      </c>
    </row>
    <row r="86" customFormat="false" ht="15" hidden="false" customHeight="false" outlineLevel="0" collapsed="false">
      <c r="A86" s="4" t="n">
        <v>1069</v>
      </c>
      <c r="B86" s="5" t="n">
        <v>45776</v>
      </c>
      <c r="C86" s="4" t="s">
        <v>22</v>
      </c>
      <c r="D86" s="4" t="s">
        <v>19</v>
      </c>
      <c r="E86" s="4" t="s">
        <v>15</v>
      </c>
      <c r="F86" s="4" t="s">
        <v>28</v>
      </c>
      <c r="G86" s="4" t="s">
        <v>21</v>
      </c>
      <c r="H86" s="4" t="n">
        <v>1</v>
      </c>
      <c r="I86" s="6" t="n">
        <v>4664.83</v>
      </c>
      <c r="J86" s="6" t="n">
        <f aca="false">H86*I86</f>
        <v>4664.83</v>
      </c>
      <c r="K86" s="4" t="str">
        <f aca="false">CHOOSE(MONTH(B86),"Janeiro","Fevereiro","Março","Abril","Maio","Junho","Julho","Agosto","Setembro","Outubro","Novembro","Dezembro")</f>
        <v>Abril</v>
      </c>
    </row>
    <row r="87" customFormat="false" ht="15" hidden="false" customHeight="false" outlineLevel="0" collapsed="false">
      <c r="A87" s="4" t="n">
        <v>1072</v>
      </c>
      <c r="B87" s="5" t="n">
        <v>45776</v>
      </c>
      <c r="C87" s="4" t="s">
        <v>40</v>
      </c>
      <c r="D87" s="4" t="s">
        <v>14</v>
      </c>
      <c r="E87" s="4" t="s">
        <v>15</v>
      </c>
      <c r="F87" s="4" t="s">
        <v>31</v>
      </c>
      <c r="G87" s="4" t="s">
        <v>37</v>
      </c>
      <c r="H87" s="4" t="n">
        <v>2</v>
      </c>
      <c r="I87" s="6" t="n">
        <v>276.04</v>
      </c>
      <c r="J87" s="6" t="n">
        <f aca="false">H87*I87</f>
        <v>552.08</v>
      </c>
      <c r="K87" s="4" t="str">
        <f aca="false">CHOOSE(MONTH(B87),"Janeiro","Fevereiro","Março","Abril","Maio","Junho","Julho","Agosto","Setembro","Outubro","Novembro","Dezembro")</f>
        <v>Abril</v>
      </c>
    </row>
    <row r="88" customFormat="false" ht="15" hidden="false" customHeight="false" outlineLevel="0" collapsed="false">
      <c r="A88" s="4" t="n">
        <v>1092</v>
      </c>
      <c r="B88" s="5" t="n">
        <v>45778</v>
      </c>
      <c r="C88" s="4" t="s">
        <v>22</v>
      </c>
      <c r="D88" s="4" t="s">
        <v>19</v>
      </c>
      <c r="E88" s="4" t="s">
        <v>15</v>
      </c>
      <c r="F88" s="4" t="s">
        <v>20</v>
      </c>
      <c r="G88" s="4" t="s">
        <v>17</v>
      </c>
      <c r="H88" s="4" t="n">
        <v>2</v>
      </c>
      <c r="I88" s="6" t="n">
        <v>4282.28</v>
      </c>
      <c r="J88" s="6" t="n">
        <f aca="false">H88*I88</f>
        <v>8564.56</v>
      </c>
      <c r="K88" s="4" t="str">
        <f aca="false">CHOOSE(MONTH(B88),"Janeiro","Fevereiro","Março","Abril","Maio","Junho","Julho","Agosto","Setembro","Outubro","Novembro","Dezembro")</f>
        <v>Maio</v>
      </c>
    </row>
    <row r="89" customFormat="false" ht="15" hidden="false" customHeight="false" outlineLevel="0" collapsed="false">
      <c r="A89" s="4" t="n">
        <v>1090</v>
      </c>
      <c r="B89" s="5" t="n">
        <v>45780</v>
      </c>
      <c r="C89" s="4" t="s">
        <v>39</v>
      </c>
      <c r="D89" s="4" t="s">
        <v>25</v>
      </c>
      <c r="E89" s="4" t="s">
        <v>15</v>
      </c>
      <c r="F89" s="4" t="s">
        <v>20</v>
      </c>
      <c r="G89" s="4" t="s">
        <v>17</v>
      </c>
      <c r="H89" s="4" t="n">
        <v>2</v>
      </c>
      <c r="I89" s="6" t="n">
        <v>255.64</v>
      </c>
      <c r="J89" s="6" t="n">
        <f aca="false">H89*I89</f>
        <v>511.28</v>
      </c>
      <c r="K89" s="4" t="str">
        <f aca="false">CHOOSE(MONTH(B89),"Janeiro","Fevereiro","Março","Abril","Maio","Junho","Julho","Agosto","Setembro","Outubro","Novembro","Dezembro")</f>
        <v>Maio</v>
      </c>
    </row>
    <row r="90" customFormat="false" ht="15" hidden="false" customHeight="false" outlineLevel="0" collapsed="false">
      <c r="A90" s="4" t="n">
        <v>1103</v>
      </c>
      <c r="B90" s="5" t="n">
        <v>45780</v>
      </c>
      <c r="C90" s="4" t="s">
        <v>24</v>
      </c>
      <c r="D90" s="4" t="s">
        <v>25</v>
      </c>
      <c r="E90" s="4" t="s">
        <v>15</v>
      </c>
      <c r="F90" s="4" t="s">
        <v>28</v>
      </c>
      <c r="G90" s="4" t="s">
        <v>21</v>
      </c>
      <c r="H90" s="4" t="n">
        <v>1</v>
      </c>
      <c r="I90" s="6" t="n">
        <v>421.88</v>
      </c>
      <c r="J90" s="6" t="n">
        <f aca="false">H90*I90</f>
        <v>421.88</v>
      </c>
      <c r="K90" s="4" t="str">
        <f aca="false">CHOOSE(MONTH(B90),"Janeiro","Fevereiro","Março","Abril","Maio","Junho","Julho","Agosto","Setembro","Outubro","Novembro","Dezembro")</f>
        <v>Maio</v>
      </c>
    </row>
    <row r="91" customFormat="false" ht="15" hidden="false" customHeight="false" outlineLevel="0" collapsed="false">
      <c r="A91" s="4" t="n">
        <v>1101</v>
      </c>
      <c r="B91" s="5" t="n">
        <v>45786</v>
      </c>
      <c r="C91" s="4" t="s">
        <v>30</v>
      </c>
      <c r="D91" s="4" t="s">
        <v>14</v>
      </c>
      <c r="E91" s="4" t="s">
        <v>15</v>
      </c>
      <c r="F91" s="4" t="s">
        <v>16</v>
      </c>
      <c r="G91" s="4" t="s">
        <v>17</v>
      </c>
      <c r="H91" s="4" t="n">
        <v>1</v>
      </c>
      <c r="I91" s="6" t="n">
        <v>244.77</v>
      </c>
      <c r="J91" s="6" t="n">
        <f aca="false">H91*I91</f>
        <v>244.77</v>
      </c>
      <c r="K91" s="4" t="str">
        <f aca="false">CHOOSE(MONTH(B91),"Janeiro","Fevereiro","Março","Abril","Maio","Junho","Julho","Agosto","Setembro","Outubro","Novembro","Dezembro")</f>
        <v>Maio</v>
      </c>
    </row>
    <row r="92" customFormat="false" ht="15" hidden="false" customHeight="false" outlineLevel="0" collapsed="false">
      <c r="A92" s="4" t="n">
        <v>1094</v>
      </c>
      <c r="B92" s="5" t="n">
        <v>45790</v>
      </c>
      <c r="C92" s="4" t="s">
        <v>32</v>
      </c>
      <c r="D92" s="4" t="s">
        <v>14</v>
      </c>
      <c r="E92" s="4" t="s">
        <v>15</v>
      </c>
      <c r="F92" s="4" t="s">
        <v>28</v>
      </c>
      <c r="G92" s="4" t="s">
        <v>17</v>
      </c>
      <c r="H92" s="4" t="n">
        <v>1</v>
      </c>
      <c r="I92" s="6" t="n">
        <v>339.21</v>
      </c>
      <c r="J92" s="6" t="n">
        <f aca="false">H92*I92</f>
        <v>339.21</v>
      </c>
      <c r="K92" s="4" t="str">
        <f aca="false">CHOOSE(MONTH(B92),"Janeiro","Fevereiro","Março","Abril","Maio","Junho","Julho","Agosto","Setembro","Outubro","Novembro","Dezembro")</f>
        <v>Maio</v>
      </c>
    </row>
    <row r="93" customFormat="false" ht="15" hidden="false" customHeight="false" outlineLevel="0" collapsed="false">
      <c r="A93" s="4" t="n">
        <v>1093</v>
      </c>
      <c r="B93" s="5" t="n">
        <v>45792</v>
      </c>
      <c r="C93" s="4" t="s">
        <v>40</v>
      </c>
      <c r="D93" s="4" t="s">
        <v>14</v>
      </c>
      <c r="E93" s="4" t="s">
        <v>15</v>
      </c>
      <c r="F93" s="4" t="s">
        <v>16</v>
      </c>
      <c r="G93" s="4" t="s">
        <v>21</v>
      </c>
      <c r="H93" s="4" t="n">
        <v>2</v>
      </c>
      <c r="I93" s="6" t="n">
        <v>309.52</v>
      </c>
      <c r="J93" s="6" t="n">
        <f aca="false">H93*I93</f>
        <v>619.04</v>
      </c>
      <c r="K93" s="4" t="str">
        <f aca="false">CHOOSE(MONTH(B93),"Janeiro","Fevereiro","Março","Abril","Maio","Junho","Julho","Agosto","Setembro","Outubro","Novembro","Dezembro")</f>
        <v>Maio</v>
      </c>
    </row>
    <row r="94" customFormat="false" ht="15" hidden="false" customHeight="false" outlineLevel="0" collapsed="false">
      <c r="A94" s="4" t="n">
        <v>1097</v>
      </c>
      <c r="B94" s="5" t="n">
        <v>45792</v>
      </c>
      <c r="C94" s="4" t="s">
        <v>24</v>
      </c>
      <c r="D94" s="4" t="s">
        <v>25</v>
      </c>
      <c r="E94" s="4" t="s">
        <v>15</v>
      </c>
      <c r="F94" s="4" t="s">
        <v>20</v>
      </c>
      <c r="G94" s="4" t="s">
        <v>29</v>
      </c>
      <c r="H94" s="4" t="n">
        <v>2</v>
      </c>
      <c r="I94" s="6" t="n">
        <v>459.86</v>
      </c>
      <c r="J94" s="6" t="n">
        <f aca="false">H94*I94</f>
        <v>919.72</v>
      </c>
      <c r="K94" s="4" t="str">
        <f aca="false">CHOOSE(MONTH(B94),"Janeiro","Fevereiro","Março","Abril","Maio","Junho","Julho","Agosto","Setembro","Outubro","Novembro","Dezembro")</f>
        <v>Maio</v>
      </c>
    </row>
    <row r="95" customFormat="false" ht="15" hidden="false" customHeight="false" outlineLevel="0" collapsed="false">
      <c r="A95" s="4" t="n">
        <v>1089</v>
      </c>
      <c r="B95" s="5" t="n">
        <v>45794</v>
      </c>
      <c r="C95" s="4" t="s">
        <v>32</v>
      </c>
      <c r="D95" s="4" t="s">
        <v>14</v>
      </c>
      <c r="E95" s="4" t="s">
        <v>15</v>
      </c>
      <c r="F95" s="4" t="s">
        <v>28</v>
      </c>
      <c r="G95" s="4" t="s">
        <v>21</v>
      </c>
      <c r="H95" s="4" t="n">
        <v>3</v>
      </c>
      <c r="I95" s="6" t="n">
        <v>357.09</v>
      </c>
      <c r="J95" s="6" t="n">
        <f aca="false">H95*I95</f>
        <v>1071.27</v>
      </c>
      <c r="K95" s="4" t="str">
        <f aca="false">CHOOSE(MONTH(B95),"Janeiro","Fevereiro","Março","Abril","Maio","Junho","Julho","Agosto","Setembro","Outubro","Novembro","Dezembro")</f>
        <v>Maio</v>
      </c>
    </row>
    <row r="96" customFormat="false" ht="15" hidden="false" customHeight="false" outlineLevel="0" collapsed="false">
      <c r="A96" s="4" t="n">
        <v>1096</v>
      </c>
      <c r="B96" s="5" t="n">
        <v>45794</v>
      </c>
      <c r="C96" s="4" t="s">
        <v>32</v>
      </c>
      <c r="D96" s="4" t="s">
        <v>14</v>
      </c>
      <c r="E96" s="4" t="s">
        <v>15</v>
      </c>
      <c r="F96" s="4" t="s">
        <v>31</v>
      </c>
      <c r="G96" s="4" t="s">
        <v>17</v>
      </c>
      <c r="H96" s="4" t="n">
        <v>1</v>
      </c>
      <c r="I96" s="6" t="n">
        <v>323.36</v>
      </c>
      <c r="J96" s="6" t="n">
        <f aca="false">H96*I96</f>
        <v>323.36</v>
      </c>
      <c r="K96" s="4" t="str">
        <f aca="false">CHOOSE(MONTH(B96),"Janeiro","Fevereiro","Março","Abril","Maio","Junho","Julho","Agosto","Setembro","Outubro","Novembro","Dezembro")</f>
        <v>Maio</v>
      </c>
    </row>
    <row r="97" customFormat="false" ht="15" hidden="false" customHeight="false" outlineLevel="0" collapsed="false">
      <c r="A97" s="4" t="n">
        <v>1087</v>
      </c>
      <c r="B97" s="5" t="n">
        <v>45795</v>
      </c>
      <c r="C97" s="4" t="s">
        <v>22</v>
      </c>
      <c r="D97" s="4" t="s">
        <v>19</v>
      </c>
      <c r="E97" s="4" t="s">
        <v>15</v>
      </c>
      <c r="F97" s="4" t="s">
        <v>20</v>
      </c>
      <c r="G97" s="4" t="s">
        <v>29</v>
      </c>
      <c r="H97" s="4" t="n">
        <v>1</v>
      </c>
      <c r="I97" s="6" t="n">
        <v>4316.81</v>
      </c>
      <c r="J97" s="6" t="n">
        <f aca="false">H97*I97</f>
        <v>4316.81</v>
      </c>
      <c r="K97" s="4" t="str">
        <f aca="false">CHOOSE(MONTH(B97),"Janeiro","Fevereiro","Março","Abril","Maio","Junho","Julho","Agosto","Setembro","Outubro","Novembro","Dezembro")</f>
        <v>Maio</v>
      </c>
    </row>
    <row r="98" customFormat="false" ht="15" hidden="false" customHeight="false" outlineLevel="0" collapsed="false">
      <c r="A98" s="4" t="n">
        <v>1088</v>
      </c>
      <c r="B98" s="5" t="n">
        <v>45797</v>
      </c>
      <c r="C98" s="4" t="s">
        <v>26</v>
      </c>
      <c r="D98" s="4" t="s">
        <v>14</v>
      </c>
      <c r="E98" s="4" t="s">
        <v>15</v>
      </c>
      <c r="F98" s="4" t="s">
        <v>20</v>
      </c>
      <c r="G98" s="4" t="s">
        <v>23</v>
      </c>
      <c r="H98" s="4" t="n">
        <v>1</v>
      </c>
      <c r="I98" s="6" t="n">
        <v>143.32</v>
      </c>
      <c r="J98" s="6" t="n">
        <f aca="false">H98*I98</f>
        <v>143.32</v>
      </c>
      <c r="K98" s="4" t="str">
        <f aca="false">CHOOSE(MONTH(B98),"Janeiro","Fevereiro","Março","Abril","Maio","Junho","Julho","Agosto","Setembro","Outubro","Novembro","Dezembro")</f>
        <v>Maio</v>
      </c>
    </row>
    <row r="99" customFormat="false" ht="15" hidden="false" customHeight="false" outlineLevel="0" collapsed="false">
      <c r="A99" s="4" t="n">
        <v>1098</v>
      </c>
      <c r="B99" s="5" t="n">
        <v>45797</v>
      </c>
      <c r="C99" s="4" t="s">
        <v>34</v>
      </c>
      <c r="D99" s="4" t="s">
        <v>35</v>
      </c>
      <c r="E99" s="4" t="s">
        <v>15</v>
      </c>
      <c r="F99" s="4" t="s">
        <v>20</v>
      </c>
      <c r="G99" s="4" t="s">
        <v>21</v>
      </c>
      <c r="H99" s="4" t="n">
        <v>1</v>
      </c>
      <c r="I99" s="6" t="n">
        <v>52.16</v>
      </c>
      <c r="J99" s="6" t="n">
        <f aca="false">H99*I99</f>
        <v>52.16</v>
      </c>
      <c r="K99" s="4" t="str">
        <f aca="false">CHOOSE(MONTH(B99),"Janeiro","Fevereiro","Março","Abril","Maio","Junho","Julho","Agosto","Setembro","Outubro","Novembro","Dezembro")</f>
        <v>Maio</v>
      </c>
    </row>
    <row r="100" customFormat="false" ht="15" hidden="false" customHeight="false" outlineLevel="0" collapsed="false">
      <c r="A100" s="4" t="n">
        <v>1086</v>
      </c>
      <c r="B100" s="5" t="n">
        <v>45799</v>
      </c>
      <c r="C100" s="4" t="s">
        <v>13</v>
      </c>
      <c r="D100" s="4" t="s">
        <v>14</v>
      </c>
      <c r="E100" s="4" t="s">
        <v>15</v>
      </c>
      <c r="F100" s="4" t="s">
        <v>20</v>
      </c>
      <c r="G100" s="4" t="s">
        <v>37</v>
      </c>
      <c r="H100" s="4" t="n">
        <v>2</v>
      </c>
      <c r="I100" s="6" t="n">
        <v>258.3</v>
      </c>
      <c r="J100" s="6" t="n">
        <f aca="false">H100*I100</f>
        <v>516.6</v>
      </c>
      <c r="K100" s="4" t="str">
        <f aca="false">CHOOSE(MONTH(B100),"Janeiro","Fevereiro","Março","Abril","Maio","Junho","Julho","Agosto","Setembro","Outubro","Novembro","Dezembro")</f>
        <v>Maio</v>
      </c>
    </row>
    <row r="101" customFormat="false" ht="15" hidden="false" customHeight="false" outlineLevel="0" collapsed="false">
      <c r="A101" s="4" t="n">
        <v>1085</v>
      </c>
      <c r="B101" s="5" t="n">
        <v>45800</v>
      </c>
      <c r="C101" s="4" t="s">
        <v>39</v>
      </c>
      <c r="D101" s="4" t="s">
        <v>25</v>
      </c>
      <c r="E101" s="4" t="s">
        <v>15</v>
      </c>
      <c r="F101" s="4" t="s">
        <v>20</v>
      </c>
      <c r="G101" s="4" t="s">
        <v>37</v>
      </c>
      <c r="H101" s="4" t="n">
        <v>1</v>
      </c>
      <c r="I101" s="6" t="n">
        <v>256.95</v>
      </c>
      <c r="J101" s="6" t="n">
        <f aca="false">H101*I101</f>
        <v>256.95</v>
      </c>
      <c r="K101" s="4" t="str">
        <f aca="false">CHOOSE(MONTH(B101),"Janeiro","Fevereiro","Março","Abril","Maio","Junho","Julho","Agosto","Setembro","Outubro","Novembro","Dezembro")</f>
        <v>Maio</v>
      </c>
    </row>
    <row r="102" customFormat="false" ht="15" hidden="false" customHeight="false" outlineLevel="0" collapsed="false">
      <c r="A102" s="4" t="n">
        <v>1102</v>
      </c>
      <c r="B102" s="5" t="n">
        <v>45800</v>
      </c>
      <c r="C102" s="4" t="s">
        <v>39</v>
      </c>
      <c r="D102" s="4" t="s">
        <v>25</v>
      </c>
      <c r="E102" s="4" t="s">
        <v>15</v>
      </c>
      <c r="F102" s="4" t="s">
        <v>16</v>
      </c>
      <c r="G102" s="4" t="s">
        <v>29</v>
      </c>
      <c r="H102" s="4" t="n">
        <v>1</v>
      </c>
      <c r="I102" s="6" t="n">
        <v>246.18</v>
      </c>
      <c r="J102" s="6" t="n">
        <f aca="false">H102*I102</f>
        <v>246.18</v>
      </c>
      <c r="K102" s="4" t="str">
        <f aca="false">CHOOSE(MONTH(B102),"Janeiro","Fevereiro","Março","Abril","Maio","Junho","Julho","Agosto","Setembro","Outubro","Novembro","Dezembro")</f>
        <v>Maio</v>
      </c>
    </row>
    <row r="103" customFormat="false" ht="15" hidden="false" customHeight="false" outlineLevel="0" collapsed="false">
      <c r="A103" s="4" t="n">
        <v>1084</v>
      </c>
      <c r="B103" s="5" t="n">
        <v>45801</v>
      </c>
      <c r="C103" s="4" t="s">
        <v>39</v>
      </c>
      <c r="D103" s="4" t="s">
        <v>25</v>
      </c>
      <c r="E103" s="4" t="s">
        <v>15</v>
      </c>
      <c r="F103" s="4" t="s">
        <v>20</v>
      </c>
      <c r="G103" s="4" t="s">
        <v>37</v>
      </c>
      <c r="H103" s="4" t="n">
        <v>2</v>
      </c>
      <c r="I103" s="6" t="n">
        <v>255.35</v>
      </c>
      <c r="J103" s="6" t="n">
        <f aca="false">H103*I103</f>
        <v>510.7</v>
      </c>
      <c r="K103" s="4" t="str">
        <f aca="false">CHOOSE(MONTH(B103),"Janeiro","Fevereiro","Março","Abril","Maio","Junho","Julho","Agosto","Setembro","Outubro","Novembro","Dezembro")</f>
        <v>Maio</v>
      </c>
    </row>
    <row r="104" customFormat="false" ht="15" hidden="false" customHeight="false" outlineLevel="0" collapsed="false">
      <c r="A104" s="4" t="n">
        <v>1100</v>
      </c>
      <c r="B104" s="5" t="n">
        <v>45801</v>
      </c>
      <c r="C104" s="4" t="s">
        <v>32</v>
      </c>
      <c r="D104" s="4" t="s">
        <v>14</v>
      </c>
      <c r="E104" s="4" t="s">
        <v>15</v>
      </c>
      <c r="F104" s="4" t="s">
        <v>16</v>
      </c>
      <c r="G104" s="4" t="s">
        <v>21</v>
      </c>
      <c r="H104" s="4" t="n">
        <v>3</v>
      </c>
      <c r="I104" s="6" t="n">
        <v>341.5</v>
      </c>
      <c r="J104" s="6" t="n">
        <f aca="false">H104*I104</f>
        <v>1024.5</v>
      </c>
      <c r="K104" s="4" t="str">
        <f aca="false">CHOOSE(MONTH(B104),"Janeiro","Fevereiro","Março","Abril","Maio","Junho","Julho","Agosto","Setembro","Outubro","Novembro","Dezembro")</f>
        <v>Maio</v>
      </c>
    </row>
    <row r="105" customFormat="false" ht="15" hidden="false" customHeight="false" outlineLevel="0" collapsed="false">
      <c r="A105" s="4" t="n">
        <v>1091</v>
      </c>
      <c r="B105" s="5" t="n">
        <v>45804</v>
      </c>
      <c r="C105" s="4" t="s">
        <v>33</v>
      </c>
      <c r="D105" s="4" t="s">
        <v>25</v>
      </c>
      <c r="E105" s="4" t="s">
        <v>15</v>
      </c>
      <c r="F105" s="4" t="s">
        <v>28</v>
      </c>
      <c r="G105" s="4" t="s">
        <v>23</v>
      </c>
      <c r="H105" s="4" t="n">
        <v>1</v>
      </c>
      <c r="I105" s="6" t="n">
        <v>301.23</v>
      </c>
      <c r="J105" s="6" t="n">
        <f aca="false">H105*I105</f>
        <v>301.23</v>
      </c>
      <c r="K105" s="4" t="str">
        <f aca="false">CHOOSE(MONTH(B105),"Janeiro","Fevereiro","Março","Abril","Maio","Junho","Julho","Agosto","Setembro","Outubro","Novembro","Dezembro")</f>
        <v>Maio</v>
      </c>
    </row>
    <row r="106" customFormat="false" ht="15" hidden="false" customHeight="false" outlineLevel="0" collapsed="false">
      <c r="A106" s="4" t="n">
        <v>1095</v>
      </c>
      <c r="B106" s="5" t="n">
        <v>45806</v>
      </c>
      <c r="C106" s="4" t="s">
        <v>18</v>
      </c>
      <c r="D106" s="4" t="s">
        <v>19</v>
      </c>
      <c r="E106" s="4" t="s">
        <v>15</v>
      </c>
      <c r="F106" s="4" t="s">
        <v>16</v>
      </c>
      <c r="G106" s="4" t="s">
        <v>21</v>
      </c>
      <c r="H106" s="4" t="n">
        <v>1</v>
      </c>
      <c r="I106" s="6" t="n">
        <v>2756.2</v>
      </c>
      <c r="J106" s="6" t="n">
        <f aca="false">H106*I106</f>
        <v>2756.2</v>
      </c>
      <c r="K106" s="4" t="str">
        <f aca="false">CHOOSE(MONTH(B106),"Janeiro","Fevereiro","Março","Abril","Maio","Junho","Julho","Agosto","Setembro","Outubro","Novembro","Dezembro")</f>
        <v>Maio</v>
      </c>
    </row>
    <row r="107" customFormat="false" ht="15" hidden="false" customHeight="false" outlineLevel="0" collapsed="false">
      <c r="A107" s="4" t="n">
        <v>1099</v>
      </c>
      <c r="B107" s="5" t="n">
        <v>45806</v>
      </c>
      <c r="C107" s="4" t="s">
        <v>30</v>
      </c>
      <c r="D107" s="4" t="s">
        <v>14</v>
      </c>
      <c r="E107" s="4" t="s">
        <v>15</v>
      </c>
      <c r="F107" s="4" t="s">
        <v>20</v>
      </c>
      <c r="G107" s="4" t="s">
        <v>23</v>
      </c>
      <c r="H107" s="4" t="n">
        <v>2</v>
      </c>
      <c r="I107" s="6" t="n">
        <v>242.89</v>
      </c>
      <c r="J107" s="6" t="n">
        <f aca="false">H107*I107</f>
        <v>485.78</v>
      </c>
      <c r="K107" s="4" t="str">
        <f aca="false">CHOOSE(MONTH(B107),"Janeiro","Fevereiro","Março","Abril","Maio","Junho","Julho","Agosto","Setembro","Outubro","Novembro","Dezembro")</f>
        <v>Maio</v>
      </c>
    </row>
    <row r="108" customFormat="false" ht="15" hidden="false" customHeight="false" outlineLevel="0" collapsed="false">
      <c r="A108" s="4" t="n">
        <v>1106</v>
      </c>
      <c r="B108" s="5" t="n">
        <v>45809</v>
      </c>
      <c r="C108" s="4" t="s">
        <v>36</v>
      </c>
      <c r="D108" s="4" t="s">
        <v>14</v>
      </c>
      <c r="E108" s="4" t="s">
        <v>15</v>
      </c>
      <c r="F108" s="4" t="s">
        <v>38</v>
      </c>
      <c r="G108" s="4" t="s">
        <v>27</v>
      </c>
      <c r="H108" s="4" t="n">
        <v>1</v>
      </c>
      <c r="I108" s="6" t="n">
        <v>192.92</v>
      </c>
      <c r="J108" s="6" t="n">
        <f aca="false">H108*I108</f>
        <v>192.92</v>
      </c>
      <c r="K108" s="4" t="str">
        <f aca="false">CHOOSE(MONTH(B108),"Janeiro","Fevereiro","Março","Abril","Maio","Junho","Julho","Agosto","Setembro","Outubro","Novembro","Dezembro")</f>
        <v>Junho</v>
      </c>
    </row>
    <row r="109" customFormat="false" ht="15" hidden="false" customHeight="false" outlineLevel="0" collapsed="false">
      <c r="A109" s="4" t="n">
        <v>1111</v>
      </c>
      <c r="B109" s="5" t="n">
        <v>45809</v>
      </c>
      <c r="C109" s="4" t="s">
        <v>40</v>
      </c>
      <c r="D109" s="4" t="s">
        <v>14</v>
      </c>
      <c r="E109" s="4" t="s">
        <v>15</v>
      </c>
      <c r="F109" s="4" t="s">
        <v>16</v>
      </c>
      <c r="G109" s="4" t="s">
        <v>21</v>
      </c>
      <c r="H109" s="4" t="n">
        <v>2</v>
      </c>
      <c r="I109" s="6" t="n">
        <v>298.09</v>
      </c>
      <c r="J109" s="6" t="n">
        <f aca="false">H109*I109</f>
        <v>596.18</v>
      </c>
      <c r="K109" s="4" t="str">
        <f aca="false">CHOOSE(MONTH(B109),"Janeiro","Fevereiro","Março","Abril","Maio","Junho","Julho","Agosto","Setembro","Outubro","Novembro","Dezembro")</f>
        <v>Junho</v>
      </c>
    </row>
    <row r="110" customFormat="false" ht="15" hidden="false" customHeight="false" outlineLevel="0" collapsed="false">
      <c r="A110" s="4" t="n">
        <v>1104</v>
      </c>
      <c r="B110" s="5" t="n">
        <v>45811</v>
      </c>
      <c r="C110" s="4" t="s">
        <v>40</v>
      </c>
      <c r="D110" s="4" t="s">
        <v>14</v>
      </c>
      <c r="E110" s="4" t="s">
        <v>15</v>
      </c>
      <c r="F110" s="4" t="s">
        <v>20</v>
      </c>
      <c r="G110" s="4" t="s">
        <v>17</v>
      </c>
      <c r="H110" s="4" t="n">
        <v>2</v>
      </c>
      <c r="I110" s="6" t="n">
        <v>290.92</v>
      </c>
      <c r="J110" s="6" t="n">
        <f aca="false">H110*I110</f>
        <v>581.84</v>
      </c>
      <c r="K110" s="4" t="str">
        <f aca="false">CHOOSE(MONTH(B110),"Janeiro","Fevereiro","Março","Abril","Maio","Junho","Julho","Agosto","Setembro","Outubro","Novembro","Dezembro")</f>
        <v>Junho</v>
      </c>
    </row>
    <row r="111" customFormat="false" ht="15" hidden="false" customHeight="false" outlineLevel="0" collapsed="false">
      <c r="A111" s="4" t="n">
        <v>1118</v>
      </c>
      <c r="B111" s="5" t="n">
        <v>45812</v>
      </c>
      <c r="C111" s="4" t="s">
        <v>36</v>
      </c>
      <c r="D111" s="4" t="s">
        <v>14</v>
      </c>
      <c r="E111" s="4" t="s">
        <v>15</v>
      </c>
      <c r="F111" s="4" t="s">
        <v>28</v>
      </c>
      <c r="G111" s="4" t="s">
        <v>27</v>
      </c>
      <c r="H111" s="4" t="n">
        <v>1</v>
      </c>
      <c r="I111" s="6" t="n">
        <v>207.6</v>
      </c>
      <c r="J111" s="6" t="n">
        <f aca="false">H111*I111</f>
        <v>207.6</v>
      </c>
      <c r="K111" s="4" t="str">
        <f aca="false">CHOOSE(MONTH(B111),"Janeiro","Fevereiro","Março","Abril","Maio","Junho","Julho","Agosto","Setembro","Outubro","Novembro","Dezembro")</f>
        <v>Junho</v>
      </c>
    </row>
    <row r="112" customFormat="false" ht="15" hidden="false" customHeight="false" outlineLevel="0" collapsed="false">
      <c r="A112" s="4" t="n">
        <v>1119</v>
      </c>
      <c r="B112" s="5" t="n">
        <v>45814</v>
      </c>
      <c r="C112" s="4" t="s">
        <v>36</v>
      </c>
      <c r="D112" s="4" t="s">
        <v>14</v>
      </c>
      <c r="E112" s="4" t="s">
        <v>15</v>
      </c>
      <c r="F112" s="4" t="s">
        <v>28</v>
      </c>
      <c r="G112" s="4" t="s">
        <v>23</v>
      </c>
      <c r="H112" s="4" t="n">
        <v>2</v>
      </c>
      <c r="I112" s="6" t="n">
        <v>198.79</v>
      </c>
      <c r="J112" s="6" t="n">
        <f aca="false">H112*I112</f>
        <v>397.58</v>
      </c>
      <c r="K112" s="4" t="str">
        <f aca="false">CHOOSE(MONTH(B112),"Janeiro","Fevereiro","Março","Abril","Maio","Junho","Julho","Agosto","Setembro","Outubro","Novembro","Dezembro")</f>
        <v>Junho</v>
      </c>
    </row>
    <row r="113" customFormat="false" ht="15" hidden="false" customHeight="false" outlineLevel="0" collapsed="false">
      <c r="A113" s="4" t="n">
        <v>1105</v>
      </c>
      <c r="B113" s="5" t="n">
        <v>45815</v>
      </c>
      <c r="C113" s="4" t="s">
        <v>40</v>
      </c>
      <c r="D113" s="4" t="s">
        <v>14</v>
      </c>
      <c r="E113" s="4" t="s">
        <v>15</v>
      </c>
      <c r="F113" s="4" t="s">
        <v>20</v>
      </c>
      <c r="G113" s="4" t="s">
        <v>21</v>
      </c>
      <c r="H113" s="4" t="n">
        <v>3</v>
      </c>
      <c r="I113" s="6" t="n">
        <v>290.22</v>
      </c>
      <c r="J113" s="6" t="n">
        <f aca="false">H113*I113</f>
        <v>870.66</v>
      </c>
      <c r="K113" s="4" t="str">
        <f aca="false">CHOOSE(MONTH(B113),"Janeiro","Fevereiro","Março","Abril","Maio","Junho","Julho","Agosto","Setembro","Outubro","Novembro","Dezembro")</f>
        <v>Junho</v>
      </c>
    </row>
    <row r="114" customFormat="false" ht="15" hidden="false" customHeight="false" outlineLevel="0" collapsed="false">
      <c r="A114" s="4" t="n">
        <v>1122</v>
      </c>
      <c r="B114" s="5" t="n">
        <v>45816</v>
      </c>
      <c r="C114" s="4" t="s">
        <v>18</v>
      </c>
      <c r="D114" s="4" t="s">
        <v>19</v>
      </c>
      <c r="E114" s="4" t="s">
        <v>15</v>
      </c>
      <c r="F114" s="4" t="s">
        <v>31</v>
      </c>
      <c r="G114" s="4" t="s">
        <v>29</v>
      </c>
      <c r="H114" s="4" t="n">
        <v>1</v>
      </c>
      <c r="I114" s="6" t="n">
        <v>2727.7</v>
      </c>
      <c r="J114" s="6" t="n">
        <f aca="false">H114*I114</f>
        <v>2727.7</v>
      </c>
      <c r="K114" s="4" t="str">
        <f aca="false">CHOOSE(MONTH(B114),"Janeiro","Fevereiro","Março","Abril","Maio","Junho","Julho","Agosto","Setembro","Outubro","Novembro","Dezembro")</f>
        <v>Junho</v>
      </c>
    </row>
    <row r="115" customFormat="false" ht="15" hidden="false" customHeight="false" outlineLevel="0" collapsed="false">
      <c r="A115" s="4" t="n">
        <v>1114</v>
      </c>
      <c r="B115" s="5" t="n">
        <v>45817</v>
      </c>
      <c r="C115" s="4" t="s">
        <v>40</v>
      </c>
      <c r="D115" s="4" t="s">
        <v>14</v>
      </c>
      <c r="E115" s="4" t="s">
        <v>15</v>
      </c>
      <c r="F115" s="4" t="s">
        <v>20</v>
      </c>
      <c r="G115" s="4" t="s">
        <v>21</v>
      </c>
      <c r="H115" s="4" t="n">
        <v>1</v>
      </c>
      <c r="I115" s="6" t="n">
        <v>284.89</v>
      </c>
      <c r="J115" s="6" t="n">
        <f aca="false">H115*I115</f>
        <v>284.89</v>
      </c>
      <c r="K115" s="4" t="str">
        <f aca="false">CHOOSE(MONTH(B115),"Janeiro","Fevereiro","Março","Abril","Maio","Junho","Julho","Agosto","Setembro","Outubro","Novembro","Dezembro")</f>
        <v>Junho</v>
      </c>
    </row>
    <row r="116" customFormat="false" ht="15" hidden="false" customHeight="false" outlineLevel="0" collapsed="false">
      <c r="A116" s="4" t="n">
        <v>1120</v>
      </c>
      <c r="B116" s="5" t="n">
        <v>45818</v>
      </c>
      <c r="C116" s="4" t="s">
        <v>18</v>
      </c>
      <c r="D116" s="4" t="s">
        <v>19</v>
      </c>
      <c r="E116" s="4" t="s">
        <v>15</v>
      </c>
      <c r="F116" s="4" t="s">
        <v>20</v>
      </c>
      <c r="G116" s="4" t="s">
        <v>37</v>
      </c>
      <c r="H116" s="4" t="n">
        <v>1</v>
      </c>
      <c r="I116" s="6" t="n">
        <v>2686.12</v>
      </c>
      <c r="J116" s="6" t="n">
        <f aca="false">H116*I116</f>
        <v>2686.12</v>
      </c>
      <c r="K116" s="4" t="str">
        <f aca="false">CHOOSE(MONTH(B116),"Janeiro","Fevereiro","Março","Abril","Maio","Junho","Julho","Agosto","Setembro","Outubro","Novembro","Dezembro")</f>
        <v>Junho</v>
      </c>
    </row>
    <row r="117" customFormat="false" ht="15" hidden="false" customHeight="false" outlineLevel="0" collapsed="false">
      <c r="A117" s="4" t="n">
        <v>1113</v>
      </c>
      <c r="B117" s="5" t="n">
        <v>45819</v>
      </c>
      <c r="C117" s="4" t="s">
        <v>33</v>
      </c>
      <c r="D117" s="4" t="s">
        <v>25</v>
      </c>
      <c r="E117" s="4" t="s">
        <v>15</v>
      </c>
      <c r="F117" s="4" t="s">
        <v>28</v>
      </c>
      <c r="G117" s="4" t="s">
        <v>37</v>
      </c>
      <c r="H117" s="4" t="n">
        <v>1</v>
      </c>
      <c r="I117" s="6" t="n">
        <v>292.75</v>
      </c>
      <c r="J117" s="6" t="n">
        <f aca="false">H117*I117</f>
        <v>292.75</v>
      </c>
      <c r="K117" s="4" t="str">
        <f aca="false">CHOOSE(MONTH(B117),"Janeiro","Fevereiro","Março","Abril","Maio","Junho","Julho","Agosto","Setembro","Outubro","Novembro","Dezembro")</f>
        <v>Junho</v>
      </c>
    </row>
    <row r="118" customFormat="false" ht="15" hidden="false" customHeight="false" outlineLevel="0" collapsed="false">
      <c r="A118" s="4" t="n">
        <v>1121</v>
      </c>
      <c r="B118" s="5" t="n">
        <v>45821</v>
      </c>
      <c r="C118" s="4" t="s">
        <v>13</v>
      </c>
      <c r="D118" s="4" t="s">
        <v>14</v>
      </c>
      <c r="E118" s="4" t="s">
        <v>15</v>
      </c>
      <c r="F118" s="4" t="s">
        <v>28</v>
      </c>
      <c r="G118" s="4" t="s">
        <v>21</v>
      </c>
      <c r="H118" s="4" t="n">
        <v>2</v>
      </c>
      <c r="I118" s="6" t="n">
        <v>235.5</v>
      </c>
      <c r="J118" s="6" t="n">
        <f aca="false">H118*I118</f>
        <v>471</v>
      </c>
      <c r="K118" s="4" t="str">
        <f aca="false">CHOOSE(MONTH(B118),"Janeiro","Fevereiro","Março","Abril","Maio","Junho","Julho","Agosto","Setembro","Outubro","Novembro","Dezembro")</f>
        <v>Junho</v>
      </c>
    </row>
    <row r="119" customFormat="false" ht="15" hidden="false" customHeight="false" outlineLevel="0" collapsed="false">
      <c r="A119" s="4" t="n">
        <v>1109</v>
      </c>
      <c r="B119" s="5" t="n">
        <v>45822</v>
      </c>
      <c r="C119" s="4" t="s">
        <v>32</v>
      </c>
      <c r="D119" s="4" t="s">
        <v>14</v>
      </c>
      <c r="E119" s="4" t="s">
        <v>15</v>
      </c>
      <c r="F119" s="4" t="s">
        <v>28</v>
      </c>
      <c r="G119" s="4" t="s">
        <v>37</v>
      </c>
      <c r="H119" s="4" t="n">
        <v>1</v>
      </c>
      <c r="I119" s="6" t="n">
        <v>322.4</v>
      </c>
      <c r="J119" s="6" t="n">
        <f aca="false">H119*I119</f>
        <v>322.4</v>
      </c>
      <c r="K119" s="4" t="str">
        <f aca="false">CHOOSE(MONTH(B119),"Janeiro","Fevereiro","Março","Abril","Maio","Junho","Julho","Agosto","Setembro","Outubro","Novembro","Dezembro")</f>
        <v>Junho</v>
      </c>
    </row>
    <row r="120" customFormat="false" ht="15" hidden="false" customHeight="false" outlineLevel="0" collapsed="false">
      <c r="A120" s="4" t="n">
        <v>1112</v>
      </c>
      <c r="B120" s="5" t="n">
        <v>45822</v>
      </c>
      <c r="C120" s="4" t="s">
        <v>24</v>
      </c>
      <c r="D120" s="4" t="s">
        <v>25</v>
      </c>
      <c r="E120" s="4" t="s">
        <v>15</v>
      </c>
      <c r="F120" s="4" t="s">
        <v>16</v>
      </c>
      <c r="G120" s="4" t="s">
        <v>37</v>
      </c>
      <c r="H120" s="4" t="n">
        <v>1</v>
      </c>
      <c r="I120" s="6" t="n">
        <v>463.68</v>
      </c>
      <c r="J120" s="6" t="n">
        <f aca="false">H120*I120</f>
        <v>463.68</v>
      </c>
      <c r="K120" s="4" t="str">
        <f aca="false">CHOOSE(MONTH(B120),"Janeiro","Fevereiro","Março","Abril","Maio","Junho","Julho","Agosto","Setembro","Outubro","Novembro","Dezembro")</f>
        <v>Junho</v>
      </c>
    </row>
    <row r="121" customFormat="false" ht="15" hidden="false" customHeight="false" outlineLevel="0" collapsed="false">
      <c r="A121" s="4" t="n">
        <v>1115</v>
      </c>
      <c r="B121" s="5" t="n">
        <v>45826</v>
      </c>
      <c r="C121" s="4" t="s">
        <v>22</v>
      </c>
      <c r="D121" s="4" t="s">
        <v>19</v>
      </c>
      <c r="E121" s="4" t="s">
        <v>15</v>
      </c>
      <c r="F121" s="4" t="s">
        <v>16</v>
      </c>
      <c r="G121" s="4" t="s">
        <v>17</v>
      </c>
      <c r="H121" s="4" t="n">
        <v>1</v>
      </c>
      <c r="I121" s="6" t="n">
        <v>4723.9</v>
      </c>
      <c r="J121" s="6" t="n">
        <f aca="false">H121*I121</f>
        <v>4723.9</v>
      </c>
      <c r="K121" s="4" t="str">
        <f aca="false">CHOOSE(MONTH(B121),"Janeiro","Fevereiro","Março","Abril","Maio","Junho","Julho","Agosto","Setembro","Outubro","Novembro","Dezembro")</f>
        <v>Junho</v>
      </c>
    </row>
    <row r="122" customFormat="false" ht="15" hidden="false" customHeight="false" outlineLevel="0" collapsed="false">
      <c r="A122" s="4" t="n">
        <v>1124</v>
      </c>
      <c r="B122" s="5" t="n">
        <v>45830</v>
      </c>
      <c r="C122" s="4" t="s">
        <v>34</v>
      </c>
      <c r="D122" s="4" t="s">
        <v>35</v>
      </c>
      <c r="E122" s="4" t="s">
        <v>15</v>
      </c>
      <c r="F122" s="4" t="s">
        <v>16</v>
      </c>
      <c r="G122" s="4" t="s">
        <v>37</v>
      </c>
      <c r="H122" s="4" t="n">
        <v>2</v>
      </c>
      <c r="I122" s="6" t="n">
        <v>46.44</v>
      </c>
      <c r="J122" s="6" t="n">
        <f aca="false">H122*I122</f>
        <v>92.88</v>
      </c>
      <c r="K122" s="4" t="str">
        <f aca="false">CHOOSE(MONTH(B122),"Janeiro","Fevereiro","Março","Abril","Maio","Junho","Julho","Agosto","Setembro","Outubro","Novembro","Dezembro")</f>
        <v>Junho</v>
      </c>
    </row>
    <row r="123" customFormat="false" ht="15" hidden="false" customHeight="false" outlineLevel="0" collapsed="false">
      <c r="A123" s="4" t="n">
        <v>1126</v>
      </c>
      <c r="B123" s="5" t="n">
        <v>45831</v>
      </c>
      <c r="C123" s="4" t="s">
        <v>24</v>
      </c>
      <c r="D123" s="4" t="s">
        <v>25</v>
      </c>
      <c r="E123" s="4" t="s">
        <v>15</v>
      </c>
      <c r="F123" s="4" t="s">
        <v>20</v>
      </c>
      <c r="G123" s="4" t="s">
        <v>21</v>
      </c>
      <c r="H123" s="4" t="n">
        <v>2</v>
      </c>
      <c r="I123" s="6" t="n">
        <v>438.5</v>
      </c>
      <c r="J123" s="6" t="n">
        <f aca="false">H123*I123</f>
        <v>877</v>
      </c>
      <c r="K123" s="4" t="str">
        <f aca="false">CHOOSE(MONTH(B123),"Janeiro","Fevereiro","Março","Abril","Maio","Junho","Julho","Agosto","Setembro","Outubro","Novembro","Dezembro")</f>
        <v>Junho</v>
      </c>
    </row>
    <row r="124" customFormat="false" ht="15" hidden="false" customHeight="false" outlineLevel="0" collapsed="false">
      <c r="A124" s="4" t="n">
        <v>1108</v>
      </c>
      <c r="B124" s="5" t="n">
        <v>45832</v>
      </c>
      <c r="C124" s="4" t="s">
        <v>30</v>
      </c>
      <c r="D124" s="4" t="s">
        <v>14</v>
      </c>
      <c r="E124" s="4" t="s">
        <v>15</v>
      </c>
      <c r="F124" s="4" t="s">
        <v>20</v>
      </c>
      <c r="G124" s="4" t="s">
        <v>27</v>
      </c>
      <c r="H124" s="4" t="n">
        <v>1</v>
      </c>
      <c r="I124" s="6" t="n">
        <v>254.97</v>
      </c>
      <c r="J124" s="6" t="n">
        <f aca="false">H124*I124</f>
        <v>254.97</v>
      </c>
      <c r="K124" s="4" t="str">
        <f aca="false">CHOOSE(MONTH(B124),"Janeiro","Fevereiro","Março","Abril","Maio","Junho","Julho","Agosto","Setembro","Outubro","Novembro","Dezembro")</f>
        <v>Junho</v>
      </c>
    </row>
    <row r="125" customFormat="false" ht="15" hidden="false" customHeight="false" outlineLevel="0" collapsed="false">
      <c r="A125" s="4" t="n">
        <v>1110</v>
      </c>
      <c r="B125" s="5" t="n">
        <v>45832</v>
      </c>
      <c r="C125" s="4" t="s">
        <v>24</v>
      </c>
      <c r="D125" s="4" t="s">
        <v>25</v>
      </c>
      <c r="E125" s="4" t="s">
        <v>15</v>
      </c>
      <c r="F125" s="4" t="s">
        <v>38</v>
      </c>
      <c r="G125" s="4" t="s">
        <v>29</v>
      </c>
      <c r="H125" s="4" t="n">
        <v>1</v>
      </c>
      <c r="I125" s="6" t="n">
        <v>462.14</v>
      </c>
      <c r="J125" s="6" t="n">
        <f aca="false">H125*I125</f>
        <v>462.14</v>
      </c>
      <c r="K125" s="4" t="str">
        <f aca="false">CHOOSE(MONTH(B125),"Janeiro","Fevereiro","Março","Abril","Maio","Junho","Julho","Agosto","Setembro","Outubro","Novembro","Dezembro")</f>
        <v>Junho</v>
      </c>
    </row>
    <row r="126" customFormat="false" ht="15" hidden="false" customHeight="false" outlineLevel="0" collapsed="false">
      <c r="A126" s="4" t="n">
        <v>1107</v>
      </c>
      <c r="B126" s="5" t="n">
        <v>45833</v>
      </c>
      <c r="C126" s="4" t="s">
        <v>40</v>
      </c>
      <c r="D126" s="4" t="s">
        <v>14</v>
      </c>
      <c r="E126" s="4" t="s">
        <v>15</v>
      </c>
      <c r="F126" s="4" t="s">
        <v>20</v>
      </c>
      <c r="G126" s="4" t="s">
        <v>21</v>
      </c>
      <c r="H126" s="4" t="n">
        <v>3</v>
      </c>
      <c r="I126" s="6" t="n">
        <v>308.25</v>
      </c>
      <c r="J126" s="6" t="n">
        <f aca="false">H126*I126</f>
        <v>924.75</v>
      </c>
      <c r="K126" s="4" t="str">
        <f aca="false">CHOOSE(MONTH(B126),"Janeiro","Fevereiro","Março","Abril","Maio","Junho","Julho","Agosto","Setembro","Outubro","Novembro","Dezembro")</f>
        <v>Junho</v>
      </c>
    </row>
    <row r="127" customFormat="false" ht="15" hidden="false" customHeight="false" outlineLevel="0" collapsed="false">
      <c r="A127" s="4" t="n">
        <v>1116</v>
      </c>
      <c r="B127" s="5" t="n">
        <v>45833</v>
      </c>
      <c r="C127" s="4" t="s">
        <v>26</v>
      </c>
      <c r="D127" s="4" t="s">
        <v>14</v>
      </c>
      <c r="E127" s="4" t="s">
        <v>15</v>
      </c>
      <c r="F127" s="4" t="s">
        <v>38</v>
      </c>
      <c r="G127" s="4" t="s">
        <v>23</v>
      </c>
      <c r="H127" s="4" t="n">
        <v>1</v>
      </c>
      <c r="I127" s="6" t="n">
        <v>137.86</v>
      </c>
      <c r="J127" s="6" t="n">
        <f aca="false">H127*I127</f>
        <v>137.86</v>
      </c>
      <c r="K127" s="4" t="str">
        <f aca="false">CHOOSE(MONTH(B127),"Janeiro","Fevereiro","Março","Abril","Maio","Junho","Julho","Agosto","Setembro","Outubro","Novembro","Dezembro")</f>
        <v>Junho</v>
      </c>
    </row>
    <row r="128" customFormat="false" ht="15" hidden="false" customHeight="false" outlineLevel="0" collapsed="false">
      <c r="A128" s="4" t="n">
        <v>1123</v>
      </c>
      <c r="B128" s="5" t="n">
        <v>45834</v>
      </c>
      <c r="C128" s="4" t="s">
        <v>18</v>
      </c>
      <c r="D128" s="4" t="s">
        <v>19</v>
      </c>
      <c r="E128" s="4" t="s">
        <v>15</v>
      </c>
      <c r="F128" s="4" t="s">
        <v>16</v>
      </c>
      <c r="G128" s="4" t="s">
        <v>37</v>
      </c>
      <c r="H128" s="4" t="n">
        <v>1</v>
      </c>
      <c r="I128" s="6" t="n">
        <v>2762.45</v>
      </c>
      <c r="J128" s="6" t="n">
        <f aca="false">H128*I128</f>
        <v>2762.45</v>
      </c>
      <c r="K128" s="4" t="str">
        <f aca="false">CHOOSE(MONTH(B128),"Janeiro","Fevereiro","Março","Abril","Maio","Junho","Julho","Agosto","Setembro","Outubro","Novembro","Dezembro")</f>
        <v>Junho</v>
      </c>
    </row>
    <row r="129" customFormat="false" ht="15" hidden="false" customHeight="false" outlineLevel="0" collapsed="false">
      <c r="A129" s="4" t="n">
        <v>1117</v>
      </c>
      <c r="B129" s="5" t="n">
        <v>45835</v>
      </c>
      <c r="C129" s="4" t="s">
        <v>22</v>
      </c>
      <c r="D129" s="4" t="s">
        <v>19</v>
      </c>
      <c r="E129" s="4" t="s">
        <v>15</v>
      </c>
      <c r="F129" s="4" t="s">
        <v>16</v>
      </c>
      <c r="G129" s="4" t="s">
        <v>21</v>
      </c>
      <c r="H129" s="4" t="n">
        <v>1</v>
      </c>
      <c r="I129" s="6" t="n">
        <v>4502.48</v>
      </c>
      <c r="J129" s="6" t="n">
        <f aca="false">H129*I129</f>
        <v>4502.48</v>
      </c>
      <c r="K129" s="4" t="str">
        <f aca="false">CHOOSE(MONTH(B129),"Janeiro","Fevereiro","Março","Abril","Maio","Junho","Julho","Agosto","Setembro","Outubro","Novembro","Dezembro")</f>
        <v>Junho</v>
      </c>
    </row>
    <row r="130" customFormat="false" ht="15" hidden="false" customHeight="false" outlineLevel="0" collapsed="false">
      <c r="A130" s="4" t="n">
        <v>1125</v>
      </c>
      <c r="B130" s="5" t="n">
        <v>45835</v>
      </c>
      <c r="C130" s="4" t="s">
        <v>32</v>
      </c>
      <c r="D130" s="4" t="s">
        <v>14</v>
      </c>
      <c r="E130" s="4" t="s">
        <v>15</v>
      </c>
      <c r="F130" s="4" t="s">
        <v>28</v>
      </c>
      <c r="G130" s="4" t="s">
        <v>37</v>
      </c>
      <c r="H130" s="4" t="n">
        <v>1</v>
      </c>
      <c r="I130" s="6" t="n">
        <v>325.87</v>
      </c>
      <c r="J130" s="6" t="n">
        <f aca="false">H130*I130</f>
        <v>325.87</v>
      </c>
      <c r="K130" s="4" t="str">
        <f aca="false">CHOOSE(MONTH(B130),"Janeiro","Fevereiro","Março","Abril","Maio","Junho","Julho","Agosto","Setembro","Outubro","Novembro","Dezembro")</f>
        <v>Junho</v>
      </c>
    </row>
    <row r="131" customFormat="false" ht="15" hidden="false" customHeight="false" outlineLevel="0" collapsed="false">
      <c r="A131" s="4" t="n">
        <v>1144</v>
      </c>
      <c r="B131" s="5" t="n">
        <v>45842</v>
      </c>
      <c r="C131" s="4" t="s">
        <v>22</v>
      </c>
      <c r="D131" s="4" t="s">
        <v>19</v>
      </c>
      <c r="E131" s="4" t="s">
        <v>15</v>
      </c>
      <c r="F131" s="4" t="s">
        <v>20</v>
      </c>
      <c r="G131" s="4" t="s">
        <v>27</v>
      </c>
      <c r="H131" s="4" t="n">
        <v>2</v>
      </c>
      <c r="I131" s="6" t="n">
        <v>4474.83</v>
      </c>
      <c r="J131" s="6" t="n">
        <f aca="false">H131*I131</f>
        <v>8949.66</v>
      </c>
      <c r="K131" s="4" t="str">
        <f aca="false">CHOOSE(MONTH(B131),"Janeiro","Fevereiro","Março","Abril","Maio","Junho","Julho","Agosto","Setembro","Outubro","Novembro","Dezembro")</f>
        <v>Julho</v>
      </c>
    </row>
    <row r="132" customFormat="false" ht="15" hidden="false" customHeight="false" outlineLevel="0" collapsed="false">
      <c r="A132" s="4" t="n">
        <v>1147</v>
      </c>
      <c r="B132" s="5" t="n">
        <v>45843</v>
      </c>
      <c r="C132" s="4" t="s">
        <v>36</v>
      </c>
      <c r="D132" s="4" t="s">
        <v>14</v>
      </c>
      <c r="E132" s="4" t="s">
        <v>15</v>
      </c>
      <c r="F132" s="4" t="s">
        <v>38</v>
      </c>
      <c r="G132" s="4" t="s">
        <v>17</v>
      </c>
      <c r="H132" s="4" t="n">
        <v>1</v>
      </c>
      <c r="I132" s="6" t="n">
        <v>207.63</v>
      </c>
      <c r="J132" s="6" t="n">
        <f aca="false">H132*I132</f>
        <v>207.63</v>
      </c>
      <c r="K132" s="4" t="str">
        <f aca="false">CHOOSE(MONTH(B132),"Janeiro","Fevereiro","Março","Abril","Maio","Junho","Julho","Agosto","Setembro","Outubro","Novembro","Dezembro")</f>
        <v>Julho</v>
      </c>
    </row>
    <row r="133" customFormat="false" ht="15" hidden="false" customHeight="false" outlineLevel="0" collapsed="false">
      <c r="A133" s="4" t="n">
        <v>1145</v>
      </c>
      <c r="B133" s="5" t="n">
        <v>45844</v>
      </c>
      <c r="C133" s="4" t="s">
        <v>22</v>
      </c>
      <c r="D133" s="4" t="s">
        <v>19</v>
      </c>
      <c r="E133" s="4" t="s">
        <v>15</v>
      </c>
      <c r="F133" s="4" t="s">
        <v>16</v>
      </c>
      <c r="G133" s="4" t="s">
        <v>17</v>
      </c>
      <c r="H133" s="4" t="n">
        <v>2</v>
      </c>
      <c r="I133" s="6" t="n">
        <v>4286.75</v>
      </c>
      <c r="J133" s="6" t="n">
        <f aca="false">H133*I133</f>
        <v>8573.5</v>
      </c>
      <c r="K133" s="4" t="str">
        <f aca="false">CHOOSE(MONTH(B133),"Janeiro","Fevereiro","Março","Abril","Maio","Junho","Julho","Agosto","Setembro","Outubro","Novembro","Dezembro")</f>
        <v>Julho</v>
      </c>
    </row>
    <row r="134" customFormat="false" ht="15" hidden="false" customHeight="false" outlineLevel="0" collapsed="false">
      <c r="A134" s="4" t="n">
        <v>1131</v>
      </c>
      <c r="B134" s="5" t="n">
        <v>45845</v>
      </c>
      <c r="C134" s="4" t="s">
        <v>34</v>
      </c>
      <c r="D134" s="4" t="s">
        <v>35</v>
      </c>
      <c r="E134" s="4" t="s">
        <v>15</v>
      </c>
      <c r="F134" s="4" t="s">
        <v>16</v>
      </c>
      <c r="G134" s="4" t="s">
        <v>29</v>
      </c>
      <c r="H134" s="4" t="n">
        <v>1</v>
      </c>
      <c r="I134" s="6" t="n">
        <v>51.18</v>
      </c>
      <c r="J134" s="6" t="n">
        <f aca="false">H134*I134</f>
        <v>51.18</v>
      </c>
      <c r="K134" s="4" t="str">
        <f aca="false">CHOOSE(MONTH(B134),"Janeiro","Fevereiro","Março","Abril","Maio","Junho","Julho","Agosto","Setembro","Outubro","Novembro","Dezembro")</f>
        <v>Julho</v>
      </c>
    </row>
    <row r="135" customFormat="false" ht="15" hidden="false" customHeight="false" outlineLevel="0" collapsed="false">
      <c r="A135" s="4" t="n">
        <v>1133</v>
      </c>
      <c r="B135" s="5" t="n">
        <v>45846</v>
      </c>
      <c r="C135" s="4" t="s">
        <v>13</v>
      </c>
      <c r="D135" s="4" t="s">
        <v>14</v>
      </c>
      <c r="E135" s="4" t="s">
        <v>15</v>
      </c>
      <c r="F135" s="4" t="s">
        <v>28</v>
      </c>
      <c r="G135" s="4" t="s">
        <v>21</v>
      </c>
      <c r="H135" s="4" t="n">
        <v>2</v>
      </c>
      <c r="I135" s="6" t="n">
        <v>242.24</v>
      </c>
      <c r="J135" s="6" t="n">
        <f aca="false">H135*I135</f>
        <v>484.48</v>
      </c>
      <c r="K135" s="4" t="str">
        <f aca="false">CHOOSE(MONTH(B135),"Janeiro","Fevereiro","Março","Abril","Maio","Junho","Julho","Agosto","Setembro","Outubro","Novembro","Dezembro")</f>
        <v>Julho</v>
      </c>
    </row>
    <row r="136" customFormat="false" ht="15" hidden="false" customHeight="false" outlineLevel="0" collapsed="false">
      <c r="A136" s="4" t="n">
        <v>1138</v>
      </c>
      <c r="B136" s="5" t="n">
        <v>45846</v>
      </c>
      <c r="C136" s="4" t="s">
        <v>18</v>
      </c>
      <c r="D136" s="4" t="s">
        <v>19</v>
      </c>
      <c r="E136" s="4" t="s">
        <v>15</v>
      </c>
      <c r="F136" s="4" t="s">
        <v>16</v>
      </c>
      <c r="G136" s="4" t="s">
        <v>29</v>
      </c>
      <c r="H136" s="4" t="n">
        <v>1</v>
      </c>
      <c r="I136" s="6" t="n">
        <v>2736.16</v>
      </c>
      <c r="J136" s="6" t="n">
        <f aca="false">H136*I136</f>
        <v>2736.16</v>
      </c>
      <c r="K136" s="4" t="str">
        <f aca="false">CHOOSE(MONTH(B136),"Janeiro","Fevereiro","Março","Abril","Maio","Junho","Julho","Agosto","Setembro","Outubro","Novembro","Dezembro")</f>
        <v>Julho</v>
      </c>
    </row>
    <row r="137" customFormat="false" ht="15" hidden="false" customHeight="false" outlineLevel="0" collapsed="false">
      <c r="A137" s="4" t="n">
        <v>1152</v>
      </c>
      <c r="B137" s="5" t="n">
        <v>45846</v>
      </c>
      <c r="C137" s="4" t="s">
        <v>24</v>
      </c>
      <c r="D137" s="4" t="s">
        <v>25</v>
      </c>
      <c r="E137" s="4" t="s">
        <v>15</v>
      </c>
      <c r="F137" s="4" t="s">
        <v>16</v>
      </c>
      <c r="G137" s="4" t="s">
        <v>37</v>
      </c>
      <c r="H137" s="4" t="n">
        <v>1</v>
      </c>
      <c r="I137" s="6" t="n">
        <v>445.3</v>
      </c>
      <c r="J137" s="6" t="n">
        <f aca="false">H137*I137</f>
        <v>445.3</v>
      </c>
      <c r="K137" s="4" t="str">
        <f aca="false">CHOOSE(MONTH(B137),"Janeiro","Fevereiro","Março","Abril","Maio","Junho","Julho","Agosto","Setembro","Outubro","Novembro","Dezembro")</f>
        <v>Julho</v>
      </c>
    </row>
    <row r="138" customFormat="false" ht="15" hidden="false" customHeight="false" outlineLevel="0" collapsed="false">
      <c r="A138" s="4" t="n">
        <v>1129</v>
      </c>
      <c r="B138" s="5" t="n">
        <v>45847</v>
      </c>
      <c r="C138" s="4" t="s">
        <v>32</v>
      </c>
      <c r="D138" s="4" t="s">
        <v>14</v>
      </c>
      <c r="E138" s="4" t="s">
        <v>15</v>
      </c>
      <c r="F138" s="4" t="s">
        <v>20</v>
      </c>
      <c r="G138" s="4" t="s">
        <v>21</v>
      </c>
      <c r="H138" s="4" t="n">
        <v>1</v>
      </c>
      <c r="I138" s="6" t="n">
        <v>332.14</v>
      </c>
      <c r="J138" s="6" t="n">
        <f aca="false">H138*I138</f>
        <v>332.14</v>
      </c>
      <c r="K138" s="4" t="str">
        <f aca="false">CHOOSE(MONTH(B138),"Janeiro","Fevereiro","Março","Abril","Maio","Junho","Julho","Agosto","Setembro","Outubro","Novembro","Dezembro")</f>
        <v>Julho</v>
      </c>
    </row>
    <row r="139" customFormat="false" ht="15" hidden="false" customHeight="false" outlineLevel="0" collapsed="false">
      <c r="A139" s="4" t="n">
        <v>1135</v>
      </c>
      <c r="B139" s="5" t="n">
        <v>45848</v>
      </c>
      <c r="C139" s="4" t="s">
        <v>33</v>
      </c>
      <c r="D139" s="4" t="s">
        <v>25</v>
      </c>
      <c r="E139" s="4" t="s">
        <v>15</v>
      </c>
      <c r="F139" s="4" t="s">
        <v>16</v>
      </c>
      <c r="G139" s="4" t="s">
        <v>29</v>
      </c>
      <c r="H139" s="4" t="n">
        <v>1</v>
      </c>
      <c r="I139" s="6" t="n">
        <v>290.8</v>
      </c>
      <c r="J139" s="6" t="n">
        <f aca="false">H139*I139</f>
        <v>290.8</v>
      </c>
      <c r="K139" s="4" t="str">
        <f aca="false">CHOOSE(MONTH(B139),"Janeiro","Fevereiro","Março","Abril","Maio","Junho","Julho","Agosto","Setembro","Outubro","Novembro","Dezembro")</f>
        <v>Julho</v>
      </c>
    </row>
    <row r="140" customFormat="false" ht="15" hidden="false" customHeight="false" outlineLevel="0" collapsed="false">
      <c r="A140" s="4" t="n">
        <v>1143</v>
      </c>
      <c r="B140" s="5" t="n">
        <v>45848</v>
      </c>
      <c r="C140" s="4" t="s">
        <v>13</v>
      </c>
      <c r="D140" s="4" t="s">
        <v>14</v>
      </c>
      <c r="E140" s="4" t="s">
        <v>15</v>
      </c>
      <c r="F140" s="4" t="s">
        <v>31</v>
      </c>
      <c r="G140" s="4" t="s">
        <v>37</v>
      </c>
      <c r="H140" s="4" t="n">
        <v>2</v>
      </c>
      <c r="I140" s="6" t="n">
        <v>259.64</v>
      </c>
      <c r="J140" s="6" t="n">
        <f aca="false">H140*I140</f>
        <v>519.28</v>
      </c>
      <c r="K140" s="4" t="str">
        <f aca="false">CHOOSE(MONTH(B140),"Janeiro","Fevereiro","Março","Abril","Maio","Junho","Julho","Agosto","Setembro","Outubro","Novembro","Dezembro")</f>
        <v>Julho</v>
      </c>
    </row>
    <row r="141" customFormat="false" ht="15" hidden="false" customHeight="false" outlineLevel="0" collapsed="false">
      <c r="A141" s="4" t="n">
        <v>1150</v>
      </c>
      <c r="B141" s="5" t="n">
        <v>45848</v>
      </c>
      <c r="C141" s="4" t="s">
        <v>36</v>
      </c>
      <c r="D141" s="4" t="s">
        <v>14</v>
      </c>
      <c r="E141" s="4" t="s">
        <v>15</v>
      </c>
      <c r="F141" s="4" t="s">
        <v>38</v>
      </c>
      <c r="G141" s="4" t="s">
        <v>17</v>
      </c>
      <c r="H141" s="4" t="n">
        <v>2</v>
      </c>
      <c r="I141" s="6" t="n">
        <v>199.15</v>
      </c>
      <c r="J141" s="6" t="n">
        <f aca="false">H141*I141</f>
        <v>398.3</v>
      </c>
      <c r="K141" s="4" t="str">
        <f aca="false">CHOOSE(MONTH(B141),"Janeiro","Fevereiro","Março","Abril","Maio","Junho","Julho","Agosto","Setembro","Outubro","Novembro","Dezembro")</f>
        <v>Julho</v>
      </c>
    </row>
    <row r="142" customFormat="false" ht="15" hidden="false" customHeight="false" outlineLevel="0" collapsed="false">
      <c r="A142" s="4" t="n">
        <v>1136</v>
      </c>
      <c r="B142" s="5" t="n">
        <v>45850</v>
      </c>
      <c r="C142" s="4" t="s">
        <v>32</v>
      </c>
      <c r="D142" s="4" t="s">
        <v>14</v>
      </c>
      <c r="E142" s="4" t="s">
        <v>15</v>
      </c>
      <c r="F142" s="4" t="s">
        <v>20</v>
      </c>
      <c r="G142" s="4" t="s">
        <v>21</v>
      </c>
      <c r="H142" s="4" t="n">
        <v>1</v>
      </c>
      <c r="I142" s="6" t="n">
        <v>346.19</v>
      </c>
      <c r="J142" s="6" t="n">
        <f aca="false">H142*I142</f>
        <v>346.19</v>
      </c>
      <c r="K142" s="4" t="str">
        <f aca="false">CHOOSE(MONTH(B142),"Janeiro","Fevereiro","Março","Abril","Maio","Junho","Julho","Agosto","Setembro","Outubro","Novembro","Dezembro")</f>
        <v>Julho</v>
      </c>
    </row>
    <row r="143" customFormat="false" ht="15" hidden="false" customHeight="false" outlineLevel="0" collapsed="false">
      <c r="A143" s="4" t="n">
        <v>1130</v>
      </c>
      <c r="B143" s="5" t="n">
        <v>45851</v>
      </c>
      <c r="C143" s="4" t="s">
        <v>34</v>
      </c>
      <c r="D143" s="4" t="s">
        <v>35</v>
      </c>
      <c r="E143" s="4" t="s">
        <v>15</v>
      </c>
      <c r="F143" s="4" t="s">
        <v>16</v>
      </c>
      <c r="G143" s="4" t="s">
        <v>37</v>
      </c>
      <c r="H143" s="4" t="n">
        <v>3</v>
      </c>
      <c r="I143" s="6" t="n">
        <v>46.18</v>
      </c>
      <c r="J143" s="6" t="n">
        <f aca="false">H143*I143</f>
        <v>138.54</v>
      </c>
      <c r="K143" s="4" t="str">
        <f aca="false">CHOOSE(MONTH(B143),"Janeiro","Fevereiro","Março","Abril","Maio","Junho","Julho","Agosto","Setembro","Outubro","Novembro","Dezembro")</f>
        <v>Julho</v>
      </c>
    </row>
    <row r="144" customFormat="false" ht="15" hidden="false" customHeight="false" outlineLevel="0" collapsed="false">
      <c r="A144" s="4" t="n">
        <v>1146</v>
      </c>
      <c r="B144" s="5" t="n">
        <v>45851</v>
      </c>
      <c r="C144" s="4" t="s">
        <v>32</v>
      </c>
      <c r="D144" s="4" t="s">
        <v>14</v>
      </c>
      <c r="E144" s="4" t="s">
        <v>15</v>
      </c>
      <c r="F144" s="4" t="s">
        <v>28</v>
      </c>
      <c r="G144" s="4" t="s">
        <v>23</v>
      </c>
      <c r="H144" s="4" t="n">
        <v>2</v>
      </c>
      <c r="I144" s="6" t="n">
        <v>324.44</v>
      </c>
      <c r="J144" s="6" t="n">
        <f aca="false">H144*I144</f>
        <v>648.88</v>
      </c>
      <c r="K144" s="4" t="str">
        <f aca="false">CHOOSE(MONTH(B144),"Janeiro","Fevereiro","Março","Abril","Maio","Junho","Julho","Agosto","Setembro","Outubro","Novembro","Dezembro")</f>
        <v>Julho</v>
      </c>
    </row>
    <row r="145" customFormat="false" ht="15" hidden="false" customHeight="false" outlineLevel="0" collapsed="false">
      <c r="A145" s="4" t="n">
        <v>1149</v>
      </c>
      <c r="B145" s="5" t="n">
        <v>45851</v>
      </c>
      <c r="C145" s="4" t="s">
        <v>32</v>
      </c>
      <c r="D145" s="4" t="s">
        <v>14</v>
      </c>
      <c r="E145" s="4" t="s">
        <v>15</v>
      </c>
      <c r="F145" s="4" t="s">
        <v>31</v>
      </c>
      <c r="G145" s="4" t="s">
        <v>37</v>
      </c>
      <c r="H145" s="4" t="n">
        <v>1</v>
      </c>
      <c r="I145" s="6" t="n">
        <v>362.3</v>
      </c>
      <c r="J145" s="6" t="n">
        <f aca="false">H145*I145</f>
        <v>362.3</v>
      </c>
      <c r="K145" s="4" t="str">
        <f aca="false">CHOOSE(MONTH(B145),"Janeiro","Fevereiro","Março","Abril","Maio","Junho","Julho","Agosto","Setembro","Outubro","Novembro","Dezembro")</f>
        <v>Julho</v>
      </c>
    </row>
    <row r="146" customFormat="false" ht="15" hidden="false" customHeight="false" outlineLevel="0" collapsed="false">
      <c r="A146" s="4" t="n">
        <v>1134</v>
      </c>
      <c r="B146" s="5" t="n">
        <v>45854</v>
      </c>
      <c r="C146" s="4" t="s">
        <v>26</v>
      </c>
      <c r="D146" s="4" t="s">
        <v>14</v>
      </c>
      <c r="E146" s="4" t="s">
        <v>15</v>
      </c>
      <c r="F146" s="4" t="s">
        <v>28</v>
      </c>
      <c r="G146" s="4" t="s">
        <v>17</v>
      </c>
      <c r="H146" s="4" t="n">
        <v>1</v>
      </c>
      <c r="I146" s="6" t="n">
        <v>150.87</v>
      </c>
      <c r="J146" s="6" t="n">
        <f aca="false">H146*I146</f>
        <v>150.87</v>
      </c>
      <c r="K146" s="4" t="str">
        <f aca="false">CHOOSE(MONTH(B146),"Janeiro","Fevereiro","Março","Abril","Maio","Junho","Julho","Agosto","Setembro","Outubro","Novembro","Dezembro")</f>
        <v>Julho</v>
      </c>
    </row>
    <row r="147" customFormat="false" ht="15" hidden="false" customHeight="false" outlineLevel="0" collapsed="false">
      <c r="A147" s="4" t="n">
        <v>1137</v>
      </c>
      <c r="B147" s="5" t="n">
        <v>45856</v>
      </c>
      <c r="C147" s="4" t="s">
        <v>34</v>
      </c>
      <c r="D147" s="4" t="s">
        <v>35</v>
      </c>
      <c r="E147" s="4" t="s">
        <v>15</v>
      </c>
      <c r="F147" s="4" t="s">
        <v>16</v>
      </c>
      <c r="G147" s="4" t="s">
        <v>27</v>
      </c>
      <c r="H147" s="4" t="n">
        <v>1</v>
      </c>
      <c r="I147" s="6" t="n">
        <v>48.28</v>
      </c>
      <c r="J147" s="6" t="n">
        <f aca="false">H147*I147</f>
        <v>48.28</v>
      </c>
      <c r="K147" s="4" t="str">
        <f aca="false">CHOOSE(MONTH(B147),"Janeiro","Fevereiro","Março","Abril","Maio","Junho","Julho","Agosto","Setembro","Outubro","Novembro","Dezembro")</f>
        <v>Julho</v>
      </c>
    </row>
    <row r="148" customFormat="false" ht="15" hidden="false" customHeight="false" outlineLevel="0" collapsed="false">
      <c r="A148" s="4" t="n">
        <v>1148</v>
      </c>
      <c r="B148" s="5" t="n">
        <v>45856</v>
      </c>
      <c r="C148" s="4" t="s">
        <v>40</v>
      </c>
      <c r="D148" s="4" t="s">
        <v>14</v>
      </c>
      <c r="E148" s="4" t="s">
        <v>15</v>
      </c>
      <c r="F148" s="4" t="s">
        <v>20</v>
      </c>
      <c r="G148" s="4" t="s">
        <v>29</v>
      </c>
      <c r="H148" s="4" t="n">
        <v>3</v>
      </c>
      <c r="I148" s="6" t="n">
        <v>298.65</v>
      </c>
      <c r="J148" s="6" t="n">
        <f aca="false">H148*I148</f>
        <v>895.95</v>
      </c>
      <c r="K148" s="4" t="str">
        <f aca="false">CHOOSE(MONTH(B148),"Janeiro","Fevereiro","Março","Abril","Maio","Junho","Julho","Agosto","Setembro","Outubro","Novembro","Dezembro")</f>
        <v>Julho</v>
      </c>
    </row>
    <row r="149" customFormat="false" ht="15" hidden="false" customHeight="false" outlineLevel="0" collapsed="false">
      <c r="A149" s="4" t="n">
        <v>1128</v>
      </c>
      <c r="B149" s="5" t="n">
        <v>45857</v>
      </c>
      <c r="C149" s="4" t="s">
        <v>39</v>
      </c>
      <c r="D149" s="4" t="s">
        <v>25</v>
      </c>
      <c r="E149" s="4" t="s">
        <v>15</v>
      </c>
      <c r="F149" s="4" t="s">
        <v>31</v>
      </c>
      <c r="G149" s="4" t="s">
        <v>17</v>
      </c>
      <c r="H149" s="4" t="n">
        <v>1</v>
      </c>
      <c r="I149" s="6" t="n">
        <v>249.13</v>
      </c>
      <c r="J149" s="6" t="n">
        <f aca="false">H149*I149</f>
        <v>249.13</v>
      </c>
      <c r="K149" s="4" t="str">
        <f aca="false">CHOOSE(MONTH(B149),"Janeiro","Fevereiro","Março","Abril","Maio","Junho","Julho","Agosto","Setembro","Outubro","Novembro","Dezembro")</f>
        <v>Julho</v>
      </c>
    </row>
    <row r="150" customFormat="false" ht="15" hidden="false" customHeight="false" outlineLevel="0" collapsed="false">
      <c r="A150" s="4" t="n">
        <v>1127</v>
      </c>
      <c r="B150" s="5" t="n">
        <v>45858</v>
      </c>
      <c r="C150" s="4" t="s">
        <v>30</v>
      </c>
      <c r="D150" s="4" t="s">
        <v>14</v>
      </c>
      <c r="E150" s="4" t="s">
        <v>15</v>
      </c>
      <c r="F150" s="4" t="s">
        <v>20</v>
      </c>
      <c r="G150" s="4" t="s">
        <v>21</v>
      </c>
      <c r="H150" s="4" t="n">
        <v>1</v>
      </c>
      <c r="I150" s="6" t="n">
        <v>254.16</v>
      </c>
      <c r="J150" s="6" t="n">
        <f aca="false">H150*I150</f>
        <v>254.16</v>
      </c>
      <c r="K150" s="4" t="str">
        <f aca="false">CHOOSE(MONTH(B150),"Janeiro","Fevereiro","Março","Abril","Maio","Junho","Julho","Agosto","Setembro","Outubro","Novembro","Dezembro")</f>
        <v>Julho</v>
      </c>
    </row>
    <row r="151" customFormat="false" ht="15" hidden="false" customHeight="false" outlineLevel="0" collapsed="false">
      <c r="A151" s="4" t="n">
        <v>1132</v>
      </c>
      <c r="B151" s="5" t="n">
        <v>45861</v>
      </c>
      <c r="C151" s="4" t="s">
        <v>39</v>
      </c>
      <c r="D151" s="4" t="s">
        <v>25</v>
      </c>
      <c r="E151" s="4" t="s">
        <v>15</v>
      </c>
      <c r="F151" s="4" t="s">
        <v>38</v>
      </c>
      <c r="G151" s="4" t="s">
        <v>17</v>
      </c>
      <c r="H151" s="4" t="n">
        <v>2</v>
      </c>
      <c r="I151" s="6" t="n">
        <v>256.99</v>
      </c>
      <c r="J151" s="6" t="n">
        <f aca="false">H151*I151</f>
        <v>513.98</v>
      </c>
      <c r="K151" s="4" t="str">
        <f aca="false">CHOOSE(MONTH(B151),"Janeiro","Fevereiro","Março","Abril","Maio","Junho","Julho","Agosto","Setembro","Outubro","Novembro","Dezembro")</f>
        <v>Julho</v>
      </c>
    </row>
    <row r="152" customFormat="false" ht="15" hidden="false" customHeight="false" outlineLevel="0" collapsed="false">
      <c r="A152" s="4" t="n">
        <v>1142</v>
      </c>
      <c r="B152" s="5" t="n">
        <v>45861</v>
      </c>
      <c r="C152" s="4" t="s">
        <v>30</v>
      </c>
      <c r="D152" s="4" t="s">
        <v>14</v>
      </c>
      <c r="E152" s="4" t="s">
        <v>15</v>
      </c>
      <c r="F152" s="4" t="s">
        <v>38</v>
      </c>
      <c r="G152" s="4" t="s">
        <v>29</v>
      </c>
      <c r="H152" s="4" t="n">
        <v>1</v>
      </c>
      <c r="I152" s="6" t="n">
        <v>233.18</v>
      </c>
      <c r="J152" s="6" t="n">
        <f aca="false">H152*I152</f>
        <v>233.18</v>
      </c>
      <c r="K152" s="4" t="str">
        <f aca="false">CHOOSE(MONTH(B152),"Janeiro","Fevereiro","Março","Abril","Maio","Junho","Julho","Agosto","Setembro","Outubro","Novembro","Dezembro")</f>
        <v>Julho</v>
      </c>
    </row>
    <row r="153" customFormat="false" ht="15" hidden="false" customHeight="false" outlineLevel="0" collapsed="false">
      <c r="A153" s="4" t="n">
        <v>1140</v>
      </c>
      <c r="B153" s="5" t="n">
        <v>45862</v>
      </c>
      <c r="C153" s="4" t="s">
        <v>36</v>
      </c>
      <c r="D153" s="4" t="s">
        <v>14</v>
      </c>
      <c r="E153" s="4" t="s">
        <v>15</v>
      </c>
      <c r="F153" s="4" t="s">
        <v>20</v>
      </c>
      <c r="G153" s="4" t="s">
        <v>17</v>
      </c>
      <c r="H153" s="4" t="n">
        <v>2</v>
      </c>
      <c r="I153" s="6" t="n">
        <v>208.34</v>
      </c>
      <c r="J153" s="6" t="n">
        <f aca="false">H153*I153</f>
        <v>416.68</v>
      </c>
      <c r="K153" s="4" t="str">
        <f aca="false">CHOOSE(MONTH(B153),"Janeiro","Fevereiro","Março","Abril","Maio","Junho","Julho","Agosto","Setembro","Outubro","Novembro","Dezembro")</f>
        <v>Julho</v>
      </c>
    </row>
    <row r="154" customFormat="false" ht="15" hidden="false" customHeight="false" outlineLevel="0" collapsed="false">
      <c r="A154" s="4" t="n">
        <v>1141</v>
      </c>
      <c r="B154" s="5" t="n">
        <v>45865</v>
      </c>
      <c r="C154" s="4" t="s">
        <v>33</v>
      </c>
      <c r="D154" s="4" t="s">
        <v>25</v>
      </c>
      <c r="E154" s="4" t="s">
        <v>15</v>
      </c>
      <c r="F154" s="4" t="s">
        <v>16</v>
      </c>
      <c r="G154" s="4" t="s">
        <v>17</v>
      </c>
      <c r="H154" s="4" t="n">
        <v>1</v>
      </c>
      <c r="I154" s="6" t="n">
        <v>286.6</v>
      </c>
      <c r="J154" s="6" t="n">
        <f aca="false">H154*I154</f>
        <v>286.6</v>
      </c>
      <c r="K154" s="4" t="str">
        <f aca="false">CHOOSE(MONTH(B154),"Janeiro","Fevereiro","Março","Abril","Maio","Junho","Julho","Agosto","Setembro","Outubro","Novembro","Dezembro")</f>
        <v>Julho</v>
      </c>
    </row>
    <row r="155" customFormat="false" ht="15" hidden="false" customHeight="false" outlineLevel="0" collapsed="false">
      <c r="A155" s="4" t="n">
        <v>1139</v>
      </c>
      <c r="B155" s="5" t="n">
        <v>45869</v>
      </c>
      <c r="C155" s="4" t="s">
        <v>13</v>
      </c>
      <c r="D155" s="4" t="s">
        <v>14</v>
      </c>
      <c r="E155" s="4" t="s">
        <v>15</v>
      </c>
      <c r="F155" s="4" t="s">
        <v>28</v>
      </c>
      <c r="G155" s="4" t="s">
        <v>27</v>
      </c>
      <c r="H155" s="4" t="n">
        <v>1</v>
      </c>
      <c r="I155" s="6" t="n">
        <v>235.07</v>
      </c>
      <c r="J155" s="6" t="n">
        <f aca="false">H155*I155</f>
        <v>235.07</v>
      </c>
      <c r="K155" s="4" t="str">
        <f aca="false">CHOOSE(MONTH(B155),"Janeiro","Fevereiro","Março","Abril","Maio","Junho","Julho","Agosto","Setembro","Outubro","Novembro","Dezembro")</f>
        <v>Julho</v>
      </c>
    </row>
    <row r="156" customFormat="false" ht="15" hidden="false" customHeight="false" outlineLevel="0" collapsed="false">
      <c r="A156" s="4" t="n">
        <v>1151</v>
      </c>
      <c r="B156" s="5" t="n">
        <v>45869</v>
      </c>
      <c r="C156" s="4" t="s">
        <v>33</v>
      </c>
      <c r="D156" s="4" t="s">
        <v>25</v>
      </c>
      <c r="E156" s="4" t="s">
        <v>15</v>
      </c>
      <c r="F156" s="4" t="s">
        <v>28</v>
      </c>
      <c r="G156" s="4" t="s">
        <v>23</v>
      </c>
      <c r="H156" s="4" t="n">
        <v>1</v>
      </c>
      <c r="I156" s="6" t="n">
        <v>299.39</v>
      </c>
      <c r="J156" s="6" t="n">
        <f aca="false">H156*I156</f>
        <v>299.39</v>
      </c>
      <c r="K156" s="4" t="str">
        <f aca="false">CHOOSE(MONTH(B156),"Janeiro","Fevereiro","Março","Abril","Maio","Junho","Julho","Agosto","Setembro","Outubro","Novembro","Dezembro")</f>
        <v>Julho</v>
      </c>
    </row>
    <row r="157" customFormat="false" ht="15" hidden="false" customHeight="false" outlineLevel="0" collapsed="false">
      <c r="A157" s="4" t="n">
        <v>1173</v>
      </c>
      <c r="B157" s="5" t="n">
        <v>45870</v>
      </c>
      <c r="C157" s="4" t="s">
        <v>30</v>
      </c>
      <c r="D157" s="4" t="s">
        <v>14</v>
      </c>
      <c r="E157" s="4" t="s">
        <v>15</v>
      </c>
      <c r="F157" s="4" t="s">
        <v>38</v>
      </c>
      <c r="G157" s="4" t="s">
        <v>17</v>
      </c>
      <c r="H157" s="4" t="n">
        <v>1</v>
      </c>
      <c r="I157" s="6" t="n">
        <v>242.29</v>
      </c>
      <c r="J157" s="6" t="n">
        <f aca="false">H157*I157</f>
        <v>242.29</v>
      </c>
      <c r="K157" s="4" t="str">
        <f aca="false">CHOOSE(MONTH(B157),"Janeiro","Fevereiro","Março","Abril","Maio","Junho","Julho","Agosto","Setembro","Outubro","Novembro","Dezembro")</f>
        <v>Agosto</v>
      </c>
    </row>
    <row r="158" customFormat="false" ht="15" hidden="false" customHeight="false" outlineLevel="0" collapsed="false">
      <c r="A158" s="4" t="n">
        <v>1157</v>
      </c>
      <c r="B158" s="5" t="n">
        <v>45871</v>
      </c>
      <c r="C158" s="4" t="s">
        <v>24</v>
      </c>
      <c r="D158" s="4" t="s">
        <v>25</v>
      </c>
      <c r="E158" s="4" t="s">
        <v>15</v>
      </c>
      <c r="F158" s="4" t="s">
        <v>28</v>
      </c>
      <c r="G158" s="4" t="s">
        <v>29</v>
      </c>
      <c r="H158" s="4" t="n">
        <v>2</v>
      </c>
      <c r="I158" s="6" t="n">
        <v>459.35</v>
      </c>
      <c r="J158" s="6" t="n">
        <f aca="false">H158*I158</f>
        <v>918.7</v>
      </c>
      <c r="K158" s="4" t="str">
        <f aca="false">CHOOSE(MONTH(B158),"Janeiro","Fevereiro","Março","Abril","Maio","Junho","Julho","Agosto","Setembro","Outubro","Novembro","Dezembro")</f>
        <v>Agosto</v>
      </c>
    </row>
    <row r="159" customFormat="false" ht="15" hidden="false" customHeight="false" outlineLevel="0" collapsed="false">
      <c r="A159" s="4" t="n">
        <v>1160</v>
      </c>
      <c r="B159" s="5" t="n">
        <v>45871</v>
      </c>
      <c r="C159" s="4" t="s">
        <v>40</v>
      </c>
      <c r="D159" s="4" t="s">
        <v>14</v>
      </c>
      <c r="E159" s="4" t="s">
        <v>15</v>
      </c>
      <c r="F159" s="4" t="s">
        <v>16</v>
      </c>
      <c r="G159" s="4" t="s">
        <v>17</v>
      </c>
      <c r="H159" s="4" t="n">
        <v>2</v>
      </c>
      <c r="I159" s="6" t="n">
        <v>303.63</v>
      </c>
      <c r="J159" s="6" t="n">
        <f aca="false">H159*I159</f>
        <v>607.26</v>
      </c>
      <c r="K159" s="4" t="str">
        <f aca="false">CHOOSE(MONTH(B159),"Janeiro","Fevereiro","Março","Abril","Maio","Junho","Julho","Agosto","Setembro","Outubro","Novembro","Dezembro")</f>
        <v>Agosto</v>
      </c>
    </row>
    <row r="160" customFormat="false" ht="15" hidden="false" customHeight="false" outlineLevel="0" collapsed="false">
      <c r="A160" s="4" t="n">
        <v>1167</v>
      </c>
      <c r="B160" s="5" t="n">
        <v>45871</v>
      </c>
      <c r="C160" s="4" t="s">
        <v>32</v>
      </c>
      <c r="D160" s="4" t="s">
        <v>14</v>
      </c>
      <c r="E160" s="4" t="s">
        <v>15</v>
      </c>
      <c r="F160" s="4" t="s">
        <v>16</v>
      </c>
      <c r="G160" s="4" t="s">
        <v>37</v>
      </c>
      <c r="H160" s="4" t="n">
        <v>1</v>
      </c>
      <c r="I160" s="6" t="n">
        <v>325.08</v>
      </c>
      <c r="J160" s="6" t="n">
        <f aca="false">H160*I160</f>
        <v>325.08</v>
      </c>
      <c r="K160" s="4" t="str">
        <f aca="false">CHOOSE(MONTH(B160),"Janeiro","Fevereiro","Março","Abril","Maio","Junho","Julho","Agosto","Setembro","Outubro","Novembro","Dezembro")</f>
        <v>Agosto</v>
      </c>
    </row>
    <row r="161" customFormat="false" ht="15" hidden="false" customHeight="false" outlineLevel="0" collapsed="false">
      <c r="A161" s="4" t="n">
        <v>1154</v>
      </c>
      <c r="B161" s="5" t="n">
        <v>45872</v>
      </c>
      <c r="C161" s="4" t="s">
        <v>26</v>
      </c>
      <c r="D161" s="4" t="s">
        <v>14</v>
      </c>
      <c r="E161" s="4" t="s">
        <v>15</v>
      </c>
      <c r="F161" s="4" t="s">
        <v>28</v>
      </c>
      <c r="G161" s="4" t="s">
        <v>21</v>
      </c>
      <c r="H161" s="4" t="n">
        <v>1</v>
      </c>
      <c r="I161" s="6" t="n">
        <v>141.6</v>
      </c>
      <c r="J161" s="6" t="n">
        <f aca="false">H161*I161</f>
        <v>141.6</v>
      </c>
      <c r="K161" s="4" t="str">
        <f aca="false">CHOOSE(MONTH(B161),"Janeiro","Fevereiro","Março","Abril","Maio","Junho","Julho","Agosto","Setembro","Outubro","Novembro","Dezembro")</f>
        <v>Agosto</v>
      </c>
    </row>
    <row r="162" customFormat="false" ht="15" hidden="false" customHeight="false" outlineLevel="0" collapsed="false">
      <c r="A162" s="4" t="n">
        <v>1156</v>
      </c>
      <c r="B162" s="5" t="n">
        <v>45877</v>
      </c>
      <c r="C162" s="4" t="s">
        <v>26</v>
      </c>
      <c r="D162" s="4" t="s">
        <v>14</v>
      </c>
      <c r="E162" s="4" t="s">
        <v>15</v>
      </c>
      <c r="F162" s="4" t="s">
        <v>31</v>
      </c>
      <c r="G162" s="4" t="s">
        <v>17</v>
      </c>
      <c r="H162" s="4" t="n">
        <v>1</v>
      </c>
      <c r="I162" s="6" t="n">
        <v>139.97</v>
      </c>
      <c r="J162" s="6" t="n">
        <f aca="false">H162*I162</f>
        <v>139.97</v>
      </c>
      <c r="K162" s="4" t="str">
        <f aca="false">CHOOSE(MONTH(B162),"Janeiro","Fevereiro","Março","Abril","Maio","Junho","Julho","Agosto","Setembro","Outubro","Novembro","Dezembro")</f>
        <v>Agosto</v>
      </c>
    </row>
    <row r="163" customFormat="false" ht="15" hidden="false" customHeight="false" outlineLevel="0" collapsed="false">
      <c r="A163" s="4" t="n">
        <v>1161</v>
      </c>
      <c r="B163" s="5" t="n">
        <v>45877</v>
      </c>
      <c r="C163" s="4" t="s">
        <v>26</v>
      </c>
      <c r="D163" s="4" t="s">
        <v>14</v>
      </c>
      <c r="E163" s="4" t="s">
        <v>15</v>
      </c>
      <c r="F163" s="4" t="s">
        <v>20</v>
      </c>
      <c r="G163" s="4" t="s">
        <v>17</v>
      </c>
      <c r="H163" s="4" t="n">
        <v>2</v>
      </c>
      <c r="I163" s="6" t="n">
        <v>153.27</v>
      </c>
      <c r="J163" s="6" t="n">
        <f aca="false">H163*I163</f>
        <v>306.54</v>
      </c>
      <c r="K163" s="4" t="str">
        <f aca="false">CHOOSE(MONTH(B163),"Janeiro","Fevereiro","Março","Abril","Maio","Junho","Julho","Agosto","Setembro","Outubro","Novembro","Dezembro")</f>
        <v>Agosto</v>
      </c>
    </row>
    <row r="164" customFormat="false" ht="15" hidden="false" customHeight="false" outlineLevel="0" collapsed="false">
      <c r="A164" s="4" t="n">
        <v>1176</v>
      </c>
      <c r="B164" s="5" t="n">
        <v>45877</v>
      </c>
      <c r="C164" s="4" t="s">
        <v>32</v>
      </c>
      <c r="D164" s="4" t="s">
        <v>14</v>
      </c>
      <c r="E164" s="4" t="s">
        <v>15</v>
      </c>
      <c r="F164" s="4" t="s">
        <v>16</v>
      </c>
      <c r="G164" s="4" t="s">
        <v>29</v>
      </c>
      <c r="H164" s="4" t="n">
        <v>1</v>
      </c>
      <c r="I164" s="6" t="n">
        <v>346.09</v>
      </c>
      <c r="J164" s="6" t="n">
        <f aca="false">H164*I164</f>
        <v>346.09</v>
      </c>
      <c r="K164" s="4" t="str">
        <f aca="false">CHOOSE(MONTH(B164),"Janeiro","Fevereiro","Março","Abril","Maio","Junho","Julho","Agosto","Setembro","Outubro","Novembro","Dezembro")</f>
        <v>Agosto</v>
      </c>
    </row>
    <row r="165" customFormat="false" ht="15" hidden="false" customHeight="false" outlineLevel="0" collapsed="false">
      <c r="A165" s="4" t="n">
        <v>1153</v>
      </c>
      <c r="B165" s="5" t="n">
        <v>45879</v>
      </c>
      <c r="C165" s="4" t="s">
        <v>22</v>
      </c>
      <c r="D165" s="4" t="s">
        <v>19</v>
      </c>
      <c r="E165" s="4" t="s">
        <v>15</v>
      </c>
      <c r="F165" s="4" t="s">
        <v>28</v>
      </c>
      <c r="G165" s="4" t="s">
        <v>37</v>
      </c>
      <c r="H165" s="4" t="n">
        <v>1</v>
      </c>
      <c r="I165" s="6" t="n">
        <v>4274.46</v>
      </c>
      <c r="J165" s="6" t="n">
        <f aca="false">H165*I165</f>
        <v>4274.46</v>
      </c>
      <c r="K165" s="4" t="str">
        <f aca="false">CHOOSE(MONTH(B165),"Janeiro","Fevereiro","Março","Abril","Maio","Junho","Julho","Agosto","Setembro","Outubro","Novembro","Dezembro")</f>
        <v>Agosto</v>
      </c>
    </row>
    <row r="166" customFormat="false" ht="15" hidden="false" customHeight="false" outlineLevel="0" collapsed="false">
      <c r="A166" s="4" t="n">
        <v>1175</v>
      </c>
      <c r="B166" s="5" t="n">
        <v>45879</v>
      </c>
      <c r="C166" s="4" t="s">
        <v>30</v>
      </c>
      <c r="D166" s="4" t="s">
        <v>14</v>
      </c>
      <c r="E166" s="4" t="s">
        <v>15</v>
      </c>
      <c r="F166" s="4" t="s">
        <v>31</v>
      </c>
      <c r="G166" s="4" t="s">
        <v>37</v>
      </c>
      <c r="H166" s="4" t="n">
        <v>1</v>
      </c>
      <c r="I166" s="6" t="n">
        <v>251.91</v>
      </c>
      <c r="J166" s="6" t="n">
        <f aca="false">H166*I166</f>
        <v>251.91</v>
      </c>
      <c r="K166" s="4" t="str">
        <f aca="false">CHOOSE(MONTH(B166),"Janeiro","Fevereiro","Março","Abril","Maio","Junho","Julho","Agosto","Setembro","Outubro","Novembro","Dezembro")</f>
        <v>Agosto</v>
      </c>
    </row>
    <row r="167" customFormat="false" ht="15" hidden="false" customHeight="false" outlineLevel="0" collapsed="false">
      <c r="A167" s="4" t="n">
        <v>1165</v>
      </c>
      <c r="B167" s="5" t="n">
        <v>45880</v>
      </c>
      <c r="C167" s="4" t="s">
        <v>34</v>
      </c>
      <c r="D167" s="4" t="s">
        <v>35</v>
      </c>
      <c r="E167" s="4" t="s">
        <v>15</v>
      </c>
      <c r="F167" s="4" t="s">
        <v>16</v>
      </c>
      <c r="G167" s="4" t="s">
        <v>37</v>
      </c>
      <c r="H167" s="4" t="n">
        <v>3</v>
      </c>
      <c r="I167" s="6" t="n">
        <v>50.35</v>
      </c>
      <c r="J167" s="6" t="n">
        <f aca="false">H167*I167</f>
        <v>151.05</v>
      </c>
      <c r="K167" s="4" t="str">
        <f aca="false">CHOOSE(MONTH(B167),"Janeiro","Fevereiro","Março","Abril","Maio","Junho","Julho","Agosto","Setembro","Outubro","Novembro","Dezembro")</f>
        <v>Agosto</v>
      </c>
    </row>
    <row r="168" customFormat="false" ht="15" hidden="false" customHeight="false" outlineLevel="0" collapsed="false">
      <c r="A168" s="4" t="n">
        <v>1178</v>
      </c>
      <c r="B168" s="5" t="n">
        <v>45880</v>
      </c>
      <c r="C168" s="4" t="s">
        <v>30</v>
      </c>
      <c r="D168" s="4" t="s">
        <v>14</v>
      </c>
      <c r="E168" s="4" t="s">
        <v>15</v>
      </c>
      <c r="F168" s="4" t="s">
        <v>16</v>
      </c>
      <c r="G168" s="4" t="s">
        <v>27</v>
      </c>
      <c r="H168" s="4" t="n">
        <v>1</v>
      </c>
      <c r="I168" s="6" t="n">
        <v>237.73</v>
      </c>
      <c r="J168" s="6" t="n">
        <f aca="false">H168*I168</f>
        <v>237.73</v>
      </c>
      <c r="K168" s="4" t="str">
        <f aca="false">CHOOSE(MONTH(B168),"Janeiro","Fevereiro","Março","Abril","Maio","Junho","Julho","Agosto","Setembro","Outubro","Novembro","Dezembro")</f>
        <v>Agosto</v>
      </c>
    </row>
    <row r="169" customFormat="false" ht="15" hidden="false" customHeight="false" outlineLevel="0" collapsed="false">
      <c r="A169" s="4" t="n">
        <v>1159</v>
      </c>
      <c r="B169" s="5" t="n">
        <v>45882</v>
      </c>
      <c r="C169" s="4" t="s">
        <v>39</v>
      </c>
      <c r="D169" s="4" t="s">
        <v>25</v>
      </c>
      <c r="E169" s="4" t="s">
        <v>15</v>
      </c>
      <c r="F169" s="4" t="s">
        <v>20</v>
      </c>
      <c r="G169" s="4" t="s">
        <v>29</v>
      </c>
      <c r="H169" s="4" t="n">
        <v>1</v>
      </c>
      <c r="I169" s="6" t="n">
        <v>255.13</v>
      </c>
      <c r="J169" s="6" t="n">
        <f aca="false">H169*I169</f>
        <v>255.13</v>
      </c>
      <c r="K169" s="4" t="str">
        <f aca="false">CHOOSE(MONTH(B169),"Janeiro","Fevereiro","Março","Abril","Maio","Junho","Julho","Agosto","Setembro","Outubro","Novembro","Dezembro")</f>
        <v>Agosto</v>
      </c>
    </row>
    <row r="170" customFormat="false" ht="15" hidden="false" customHeight="false" outlineLevel="0" collapsed="false">
      <c r="A170" s="4" t="n">
        <v>1164</v>
      </c>
      <c r="B170" s="5" t="n">
        <v>45883</v>
      </c>
      <c r="C170" s="4" t="s">
        <v>26</v>
      </c>
      <c r="D170" s="4" t="s">
        <v>14</v>
      </c>
      <c r="E170" s="4" t="s">
        <v>15</v>
      </c>
      <c r="F170" s="4" t="s">
        <v>20</v>
      </c>
      <c r="G170" s="4" t="s">
        <v>37</v>
      </c>
      <c r="H170" s="4" t="n">
        <v>1</v>
      </c>
      <c r="I170" s="6" t="n">
        <v>152.85</v>
      </c>
      <c r="J170" s="6" t="n">
        <f aca="false">H170*I170</f>
        <v>152.85</v>
      </c>
      <c r="K170" s="4" t="str">
        <f aca="false">CHOOSE(MONTH(B170),"Janeiro","Fevereiro","Março","Abril","Maio","Junho","Julho","Agosto","Setembro","Outubro","Novembro","Dezembro")</f>
        <v>Agosto</v>
      </c>
    </row>
    <row r="171" customFormat="false" ht="15" hidden="false" customHeight="false" outlineLevel="0" collapsed="false">
      <c r="A171" s="4" t="n">
        <v>1169</v>
      </c>
      <c r="B171" s="5" t="n">
        <v>45884</v>
      </c>
      <c r="C171" s="4" t="s">
        <v>40</v>
      </c>
      <c r="D171" s="4" t="s">
        <v>14</v>
      </c>
      <c r="E171" s="4" t="s">
        <v>15</v>
      </c>
      <c r="F171" s="4" t="s">
        <v>16</v>
      </c>
      <c r="G171" s="4" t="s">
        <v>37</v>
      </c>
      <c r="H171" s="4" t="n">
        <v>2</v>
      </c>
      <c r="I171" s="6" t="n">
        <v>277.19</v>
      </c>
      <c r="J171" s="6" t="n">
        <f aca="false">H171*I171</f>
        <v>554.38</v>
      </c>
      <c r="K171" s="4" t="str">
        <f aca="false">CHOOSE(MONTH(B171),"Janeiro","Fevereiro","Março","Abril","Maio","Junho","Julho","Agosto","Setembro","Outubro","Novembro","Dezembro")</f>
        <v>Agosto</v>
      </c>
    </row>
    <row r="172" customFormat="false" ht="15" hidden="false" customHeight="false" outlineLevel="0" collapsed="false">
      <c r="A172" s="4" t="n">
        <v>1174</v>
      </c>
      <c r="B172" s="5" t="n">
        <v>45884</v>
      </c>
      <c r="C172" s="4" t="s">
        <v>18</v>
      </c>
      <c r="D172" s="4" t="s">
        <v>19</v>
      </c>
      <c r="E172" s="4" t="s">
        <v>15</v>
      </c>
      <c r="F172" s="4" t="s">
        <v>20</v>
      </c>
      <c r="G172" s="4" t="s">
        <v>21</v>
      </c>
      <c r="H172" s="4" t="n">
        <v>1</v>
      </c>
      <c r="I172" s="6" t="n">
        <v>2710.34</v>
      </c>
      <c r="J172" s="6" t="n">
        <f aca="false">H172*I172</f>
        <v>2710.34</v>
      </c>
      <c r="K172" s="4" t="str">
        <f aca="false">CHOOSE(MONTH(B172),"Janeiro","Fevereiro","Março","Abril","Maio","Junho","Julho","Agosto","Setembro","Outubro","Novembro","Dezembro")</f>
        <v>Agosto</v>
      </c>
    </row>
    <row r="173" customFormat="false" ht="15" hidden="false" customHeight="false" outlineLevel="0" collapsed="false">
      <c r="A173" s="4" t="n">
        <v>1163</v>
      </c>
      <c r="B173" s="5" t="n">
        <v>45885</v>
      </c>
      <c r="C173" s="4" t="s">
        <v>30</v>
      </c>
      <c r="D173" s="4" t="s">
        <v>14</v>
      </c>
      <c r="E173" s="4" t="s">
        <v>15</v>
      </c>
      <c r="F173" s="4" t="s">
        <v>16</v>
      </c>
      <c r="G173" s="4" t="s">
        <v>29</v>
      </c>
      <c r="H173" s="4" t="n">
        <v>1</v>
      </c>
      <c r="I173" s="6" t="n">
        <v>250.17</v>
      </c>
      <c r="J173" s="6" t="n">
        <f aca="false">H173*I173</f>
        <v>250.17</v>
      </c>
      <c r="K173" s="4" t="str">
        <f aca="false">CHOOSE(MONTH(B173),"Janeiro","Fevereiro","Março","Abril","Maio","Junho","Julho","Agosto","Setembro","Outubro","Novembro","Dezembro")</f>
        <v>Agosto</v>
      </c>
    </row>
    <row r="174" customFormat="false" ht="15" hidden="false" customHeight="false" outlineLevel="0" collapsed="false">
      <c r="A174" s="4" t="n">
        <v>1177</v>
      </c>
      <c r="B174" s="5" t="n">
        <v>45886</v>
      </c>
      <c r="C174" s="4" t="s">
        <v>13</v>
      </c>
      <c r="D174" s="4" t="s">
        <v>14</v>
      </c>
      <c r="E174" s="4" t="s">
        <v>15</v>
      </c>
      <c r="F174" s="4" t="s">
        <v>16</v>
      </c>
      <c r="G174" s="4" t="s">
        <v>37</v>
      </c>
      <c r="H174" s="4" t="n">
        <v>3</v>
      </c>
      <c r="I174" s="6" t="n">
        <v>257.54</v>
      </c>
      <c r="J174" s="6" t="n">
        <f aca="false">H174*I174</f>
        <v>772.62</v>
      </c>
      <c r="K174" s="4" t="str">
        <f aca="false">CHOOSE(MONTH(B174),"Janeiro","Fevereiro","Março","Abril","Maio","Junho","Julho","Agosto","Setembro","Outubro","Novembro","Dezembro")</f>
        <v>Agosto</v>
      </c>
    </row>
    <row r="175" customFormat="false" ht="15" hidden="false" customHeight="false" outlineLevel="0" collapsed="false">
      <c r="A175" s="4" t="n">
        <v>1155</v>
      </c>
      <c r="B175" s="5" t="n">
        <v>45888</v>
      </c>
      <c r="C175" s="4" t="s">
        <v>26</v>
      </c>
      <c r="D175" s="4" t="s">
        <v>14</v>
      </c>
      <c r="E175" s="4" t="s">
        <v>15</v>
      </c>
      <c r="F175" s="4" t="s">
        <v>20</v>
      </c>
      <c r="G175" s="4" t="s">
        <v>29</v>
      </c>
      <c r="H175" s="4" t="n">
        <v>1</v>
      </c>
      <c r="I175" s="6" t="n">
        <v>152.65</v>
      </c>
      <c r="J175" s="6" t="n">
        <f aca="false">H175*I175</f>
        <v>152.65</v>
      </c>
      <c r="K175" s="4" t="str">
        <f aca="false">CHOOSE(MONTH(B175),"Janeiro","Fevereiro","Março","Abril","Maio","Junho","Julho","Agosto","Setembro","Outubro","Novembro","Dezembro")</f>
        <v>Agosto</v>
      </c>
    </row>
    <row r="176" customFormat="false" ht="15" hidden="false" customHeight="false" outlineLevel="0" collapsed="false">
      <c r="A176" s="4" t="n">
        <v>1170</v>
      </c>
      <c r="B176" s="5" t="n">
        <v>45890</v>
      </c>
      <c r="C176" s="4" t="s">
        <v>32</v>
      </c>
      <c r="D176" s="4" t="s">
        <v>14</v>
      </c>
      <c r="E176" s="4" t="s">
        <v>15</v>
      </c>
      <c r="F176" s="4" t="s">
        <v>16</v>
      </c>
      <c r="G176" s="4" t="s">
        <v>23</v>
      </c>
      <c r="H176" s="4" t="n">
        <v>1</v>
      </c>
      <c r="I176" s="6" t="n">
        <v>355.56</v>
      </c>
      <c r="J176" s="6" t="n">
        <f aca="false">H176*I176</f>
        <v>355.56</v>
      </c>
      <c r="K176" s="4" t="str">
        <f aca="false">CHOOSE(MONTH(B176),"Janeiro","Fevereiro","Março","Abril","Maio","Junho","Julho","Agosto","Setembro","Outubro","Novembro","Dezembro")</f>
        <v>Agosto</v>
      </c>
    </row>
    <row r="177" customFormat="false" ht="15" hidden="false" customHeight="false" outlineLevel="0" collapsed="false">
      <c r="A177" s="4" t="n">
        <v>1172</v>
      </c>
      <c r="B177" s="5" t="n">
        <v>45890</v>
      </c>
      <c r="C177" s="4" t="s">
        <v>36</v>
      </c>
      <c r="D177" s="4" t="s">
        <v>14</v>
      </c>
      <c r="E177" s="4" t="s">
        <v>15</v>
      </c>
      <c r="F177" s="4" t="s">
        <v>16</v>
      </c>
      <c r="G177" s="4" t="s">
        <v>29</v>
      </c>
      <c r="H177" s="4" t="n">
        <v>2</v>
      </c>
      <c r="I177" s="6" t="n">
        <v>203.76</v>
      </c>
      <c r="J177" s="6" t="n">
        <f aca="false">H177*I177</f>
        <v>407.52</v>
      </c>
      <c r="K177" s="4" t="str">
        <f aca="false">CHOOSE(MONTH(B177),"Janeiro","Fevereiro","Março","Abril","Maio","Junho","Julho","Agosto","Setembro","Outubro","Novembro","Dezembro")</f>
        <v>Agosto</v>
      </c>
    </row>
    <row r="178" customFormat="false" ht="15" hidden="false" customHeight="false" outlineLevel="0" collapsed="false">
      <c r="A178" s="4" t="n">
        <v>1166</v>
      </c>
      <c r="B178" s="5" t="n">
        <v>45892</v>
      </c>
      <c r="C178" s="4" t="s">
        <v>32</v>
      </c>
      <c r="D178" s="4" t="s">
        <v>14</v>
      </c>
      <c r="E178" s="4" t="s">
        <v>15</v>
      </c>
      <c r="F178" s="4" t="s">
        <v>28</v>
      </c>
      <c r="G178" s="4" t="s">
        <v>29</v>
      </c>
      <c r="H178" s="4" t="n">
        <v>1</v>
      </c>
      <c r="I178" s="6" t="n">
        <v>334.16</v>
      </c>
      <c r="J178" s="6" t="n">
        <f aca="false">H178*I178</f>
        <v>334.16</v>
      </c>
      <c r="K178" s="4" t="str">
        <f aca="false">CHOOSE(MONTH(B178),"Janeiro","Fevereiro","Março","Abril","Maio","Junho","Julho","Agosto","Setembro","Outubro","Novembro","Dezembro")</f>
        <v>Agosto</v>
      </c>
    </row>
    <row r="179" customFormat="false" ht="15" hidden="false" customHeight="false" outlineLevel="0" collapsed="false">
      <c r="A179" s="4" t="n">
        <v>1162</v>
      </c>
      <c r="B179" s="5" t="n">
        <v>45894</v>
      </c>
      <c r="C179" s="4" t="s">
        <v>26</v>
      </c>
      <c r="D179" s="4" t="s">
        <v>14</v>
      </c>
      <c r="E179" s="4" t="s">
        <v>15</v>
      </c>
      <c r="F179" s="4" t="s">
        <v>16</v>
      </c>
      <c r="G179" s="4" t="s">
        <v>23</v>
      </c>
      <c r="H179" s="4" t="n">
        <v>2</v>
      </c>
      <c r="I179" s="6" t="n">
        <v>152.99</v>
      </c>
      <c r="J179" s="6" t="n">
        <f aca="false">H179*I179</f>
        <v>305.98</v>
      </c>
      <c r="K179" s="4" t="str">
        <f aca="false">CHOOSE(MONTH(B179),"Janeiro","Fevereiro","Março","Abril","Maio","Junho","Julho","Agosto","Setembro","Outubro","Novembro","Dezembro")</f>
        <v>Agosto</v>
      </c>
    </row>
    <row r="180" customFormat="false" ht="15" hidden="false" customHeight="false" outlineLevel="0" collapsed="false">
      <c r="A180" s="4" t="n">
        <v>1168</v>
      </c>
      <c r="B180" s="5" t="n">
        <v>45897</v>
      </c>
      <c r="C180" s="4" t="s">
        <v>30</v>
      </c>
      <c r="D180" s="4" t="s">
        <v>14</v>
      </c>
      <c r="E180" s="4" t="s">
        <v>15</v>
      </c>
      <c r="F180" s="4" t="s">
        <v>28</v>
      </c>
      <c r="G180" s="4" t="s">
        <v>29</v>
      </c>
      <c r="H180" s="4" t="n">
        <v>1</v>
      </c>
      <c r="I180" s="6" t="n">
        <v>255.78</v>
      </c>
      <c r="J180" s="6" t="n">
        <f aca="false">H180*I180</f>
        <v>255.78</v>
      </c>
      <c r="K180" s="4" t="str">
        <f aca="false">CHOOSE(MONTH(B180),"Janeiro","Fevereiro","Março","Abril","Maio","Junho","Julho","Agosto","Setembro","Outubro","Novembro","Dezembro")</f>
        <v>Agosto</v>
      </c>
    </row>
    <row r="181" customFormat="false" ht="15" hidden="false" customHeight="false" outlineLevel="0" collapsed="false">
      <c r="A181" s="4" t="n">
        <v>1158</v>
      </c>
      <c r="B181" s="5" t="n">
        <v>45899</v>
      </c>
      <c r="C181" s="4" t="s">
        <v>39</v>
      </c>
      <c r="D181" s="4" t="s">
        <v>25</v>
      </c>
      <c r="E181" s="4" t="s">
        <v>15</v>
      </c>
      <c r="F181" s="4" t="s">
        <v>28</v>
      </c>
      <c r="G181" s="4" t="s">
        <v>21</v>
      </c>
      <c r="H181" s="4" t="n">
        <v>1</v>
      </c>
      <c r="I181" s="6" t="n">
        <v>253.07</v>
      </c>
      <c r="J181" s="6" t="n">
        <f aca="false">H181*I181</f>
        <v>253.07</v>
      </c>
      <c r="K181" s="4" t="str">
        <f aca="false">CHOOSE(MONTH(B181),"Janeiro","Fevereiro","Março","Abril","Maio","Junho","Julho","Agosto","Setembro","Outubro","Novembro","Dezembro")</f>
        <v>Agosto</v>
      </c>
    </row>
    <row r="182" customFormat="false" ht="15" hidden="false" customHeight="false" outlineLevel="0" collapsed="false">
      <c r="A182" s="4" t="n">
        <v>1171</v>
      </c>
      <c r="B182" s="5" t="n">
        <v>45899</v>
      </c>
      <c r="C182" s="4" t="s">
        <v>39</v>
      </c>
      <c r="D182" s="4" t="s">
        <v>25</v>
      </c>
      <c r="E182" s="4" t="s">
        <v>15</v>
      </c>
      <c r="F182" s="4" t="s">
        <v>20</v>
      </c>
      <c r="G182" s="4" t="s">
        <v>17</v>
      </c>
      <c r="H182" s="4" t="n">
        <v>2</v>
      </c>
      <c r="I182" s="6" t="n">
        <v>253.03</v>
      </c>
      <c r="J182" s="6" t="n">
        <f aca="false">H182*I182</f>
        <v>506.06</v>
      </c>
      <c r="K182" s="4" t="str">
        <f aca="false">CHOOSE(MONTH(B182),"Janeiro","Fevereiro","Março","Abril","Maio","Junho","Julho","Agosto","Setembro","Outubro","Novembro","Dezembro")</f>
        <v>Agosto</v>
      </c>
    </row>
    <row r="183" customFormat="false" ht="15" hidden="false" customHeight="false" outlineLevel="0" collapsed="false">
      <c r="A183" s="4" t="n">
        <v>1185</v>
      </c>
      <c r="B183" s="5" t="n">
        <v>45904</v>
      </c>
      <c r="C183" s="4" t="s">
        <v>30</v>
      </c>
      <c r="D183" s="4" t="s">
        <v>14</v>
      </c>
      <c r="E183" s="4" t="s">
        <v>15</v>
      </c>
      <c r="F183" s="4" t="s">
        <v>28</v>
      </c>
      <c r="G183" s="4" t="s">
        <v>37</v>
      </c>
      <c r="H183" s="4" t="n">
        <v>1</v>
      </c>
      <c r="I183" s="6" t="n">
        <v>258.55</v>
      </c>
      <c r="J183" s="6" t="n">
        <f aca="false">H183*I183</f>
        <v>258.55</v>
      </c>
      <c r="K183" s="4" t="str">
        <f aca="false">CHOOSE(MONTH(B183),"Janeiro","Fevereiro","Março","Abril","Maio","Junho","Julho","Agosto","Setembro","Outubro","Novembro","Dezembro")</f>
        <v>Setembro</v>
      </c>
    </row>
    <row r="184" customFormat="false" ht="15" hidden="false" customHeight="false" outlineLevel="0" collapsed="false">
      <c r="A184" s="4" t="n">
        <v>1191</v>
      </c>
      <c r="B184" s="5" t="n">
        <v>45904</v>
      </c>
      <c r="C184" s="4" t="s">
        <v>26</v>
      </c>
      <c r="D184" s="4" t="s">
        <v>14</v>
      </c>
      <c r="E184" s="4" t="s">
        <v>15</v>
      </c>
      <c r="F184" s="4" t="s">
        <v>20</v>
      </c>
      <c r="G184" s="4" t="s">
        <v>21</v>
      </c>
      <c r="H184" s="4" t="n">
        <v>1</v>
      </c>
      <c r="I184" s="6" t="n">
        <v>150.71</v>
      </c>
      <c r="J184" s="6" t="n">
        <f aca="false">H184*I184</f>
        <v>150.71</v>
      </c>
      <c r="K184" s="4" t="str">
        <f aca="false">CHOOSE(MONTH(B184),"Janeiro","Fevereiro","Março","Abril","Maio","Junho","Julho","Agosto","Setembro","Outubro","Novembro","Dezembro")</f>
        <v>Setembro</v>
      </c>
    </row>
    <row r="185" customFormat="false" ht="15" hidden="false" customHeight="false" outlineLevel="0" collapsed="false">
      <c r="A185" s="4" t="n">
        <v>1194</v>
      </c>
      <c r="B185" s="5" t="n">
        <v>45906</v>
      </c>
      <c r="C185" s="4" t="s">
        <v>24</v>
      </c>
      <c r="D185" s="4" t="s">
        <v>25</v>
      </c>
      <c r="E185" s="4" t="s">
        <v>15</v>
      </c>
      <c r="F185" s="4" t="s">
        <v>16</v>
      </c>
      <c r="G185" s="4" t="s">
        <v>21</v>
      </c>
      <c r="H185" s="4" t="n">
        <v>3</v>
      </c>
      <c r="I185" s="6" t="n">
        <v>417.69</v>
      </c>
      <c r="J185" s="6" t="n">
        <f aca="false">H185*I185</f>
        <v>1253.07</v>
      </c>
      <c r="K185" s="4" t="str">
        <f aca="false">CHOOSE(MONTH(B185),"Janeiro","Fevereiro","Março","Abril","Maio","Junho","Julho","Agosto","Setembro","Outubro","Novembro","Dezembro")</f>
        <v>Setembro</v>
      </c>
    </row>
    <row r="186" customFormat="false" ht="15" hidden="false" customHeight="false" outlineLevel="0" collapsed="false">
      <c r="A186" s="4" t="n">
        <v>1181</v>
      </c>
      <c r="B186" s="5" t="n">
        <v>45908</v>
      </c>
      <c r="C186" s="4" t="s">
        <v>36</v>
      </c>
      <c r="D186" s="4" t="s">
        <v>14</v>
      </c>
      <c r="E186" s="4" t="s">
        <v>15</v>
      </c>
      <c r="F186" s="4" t="s">
        <v>28</v>
      </c>
      <c r="G186" s="4" t="s">
        <v>17</v>
      </c>
      <c r="H186" s="4" t="n">
        <v>3</v>
      </c>
      <c r="I186" s="6" t="n">
        <v>192.99</v>
      </c>
      <c r="J186" s="6" t="n">
        <f aca="false">H186*I186</f>
        <v>578.97</v>
      </c>
      <c r="K186" s="4" t="str">
        <f aca="false">CHOOSE(MONTH(B186),"Janeiro","Fevereiro","Março","Abril","Maio","Junho","Julho","Agosto","Setembro","Outubro","Novembro","Dezembro")</f>
        <v>Setembro</v>
      </c>
    </row>
    <row r="187" customFormat="false" ht="15" hidden="false" customHeight="false" outlineLevel="0" collapsed="false">
      <c r="A187" s="4" t="n">
        <v>1195</v>
      </c>
      <c r="B187" s="5" t="n">
        <v>45908</v>
      </c>
      <c r="C187" s="4" t="s">
        <v>32</v>
      </c>
      <c r="D187" s="4" t="s">
        <v>14</v>
      </c>
      <c r="E187" s="4" t="s">
        <v>15</v>
      </c>
      <c r="F187" s="4" t="s">
        <v>16</v>
      </c>
      <c r="G187" s="4" t="s">
        <v>21</v>
      </c>
      <c r="H187" s="4" t="n">
        <v>1</v>
      </c>
      <c r="I187" s="6" t="n">
        <v>362.5</v>
      </c>
      <c r="J187" s="6" t="n">
        <f aca="false">H187*I187</f>
        <v>362.5</v>
      </c>
      <c r="K187" s="4" t="str">
        <f aca="false">CHOOSE(MONTH(B187),"Janeiro","Fevereiro","Março","Abril","Maio","Junho","Julho","Agosto","Setembro","Outubro","Novembro","Dezembro")</f>
        <v>Setembro</v>
      </c>
    </row>
    <row r="188" customFormat="false" ht="15" hidden="false" customHeight="false" outlineLevel="0" collapsed="false">
      <c r="A188" s="4" t="n">
        <v>1200</v>
      </c>
      <c r="B188" s="5" t="n">
        <v>45908</v>
      </c>
      <c r="C188" s="4" t="s">
        <v>40</v>
      </c>
      <c r="D188" s="4" t="s">
        <v>14</v>
      </c>
      <c r="E188" s="4" t="s">
        <v>15</v>
      </c>
      <c r="F188" s="4" t="s">
        <v>16</v>
      </c>
      <c r="G188" s="4" t="s">
        <v>21</v>
      </c>
      <c r="H188" s="4" t="n">
        <v>2</v>
      </c>
      <c r="I188" s="6" t="n">
        <v>297.31</v>
      </c>
      <c r="J188" s="6" t="n">
        <f aca="false">H188*I188</f>
        <v>594.62</v>
      </c>
      <c r="K188" s="4" t="str">
        <f aca="false">CHOOSE(MONTH(B188),"Janeiro","Fevereiro","Março","Abril","Maio","Junho","Julho","Agosto","Setembro","Outubro","Novembro","Dezembro")</f>
        <v>Setembro</v>
      </c>
    </row>
    <row r="189" customFormat="false" ht="15" hidden="false" customHeight="false" outlineLevel="0" collapsed="false">
      <c r="A189" s="4" t="n">
        <v>1204</v>
      </c>
      <c r="B189" s="5" t="n">
        <v>45908</v>
      </c>
      <c r="C189" s="4" t="s">
        <v>26</v>
      </c>
      <c r="D189" s="4" t="s">
        <v>14</v>
      </c>
      <c r="E189" s="4" t="s">
        <v>15</v>
      </c>
      <c r="F189" s="4" t="s">
        <v>28</v>
      </c>
      <c r="G189" s="4" t="s">
        <v>21</v>
      </c>
      <c r="H189" s="4" t="n">
        <v>1</v>
      </c>
      <c r="I189" s="6" t="n">
        <v>140.76</v>
      </c>
      <c r="J189" s="6" t="n">
        <f aca="false">H189*I189</f>
        <v>140.76</v>
      </c>
      <c r="K189" s="4" t="str">
        <f aca="false">CHOOSE(MONTH(B189),"Janeiro","Fevereiro","Março","Abril","Maio","Junho","Julho","Agosto","Setembro","Outubro","Novembro","Dezembro")</f>
        <v>Setembro</v>
      </c>
    </row>
    <row r="190" customFormat="false" ht="15" hidden="false" customHeight="false" outlineLevel="0" collapsed="false">
      <c r="A190" s="4" t="n">
        <v>1196</v>
      </c>
      <c r="B190" s="5" t="n">
        <v>45909</v>
      </c>
      <c r="C190" s="4" t="s">
        <v>32</v>
      </c>
      <c r="D190" s="4" t="s">
        <v>14</v>
      </c>
      <c r="E190" s="4" t="s">
        <v>15</v>
      </c>
      <c r="F190" s="4" t="s">
        <v>31</v>
      </c>
      <c r="G190" s="4" t="s">
        <v>37</v>
      </c>
      <c r="H190" s="4" t="n">
        <v>1</v>
      </c>
      <c r="I190" s="6" t="n">
        <v>332.66</v>
      </c>
      <c r="J190" s="6" t="n">
        <f aca="false">H190*I190</f>
        <v>332.66</v>
      </c>
      <c r="K190" s="4" t="str">
        <f aca="false">CHOOSE(MONTH(B190),"Janeiro","Fevereiro","Março","Abril","Maio","Junho","Julho","Agosto","Setembro","Outubro","Novembro","Dezembro")</f>
        <v>Setembro</v>
      </c>
    </row>
    <row r="191" customFormat="false" ht="15" hidden="false" customHeight="false" outlineLevel="0" collapsed="false">
      <c r="A191" s="4" t="n">
        <v>1192</v>
      </c>
      <c r="B191" s="5" t="n">
        <v>45910</v>
      </c>
      <c r="C191" s="4" t="s">
        <v>22</v>
      </c>
      <c r="D191" s="4" t="s">
        <v>19</v>
      </c>
      <c r="E191" s="4" t="s">
        <v>15</v>
      </c>
      <c r="F191" s="4" t="s">
        <v>16</v>
      </c>
      <c r="G191" s="4" t="s">
        <v>27</v>
      </c>
      <c r="H191" s="4" t="n">
        <v>1</v>
      </c>
      <c r="I191" s="6" t="n">
        <v>4165.98</v>
      </c>
      <c r="J191" s="6" t="n">
        <f aca="false">H191*I191</f>
        <v>4165.98</v>
      </c>
      <c r="K191" s="4" t="str">
        <f aca="false">CHOOSE(MONTH(B191),"Janeiro","Fevereiro","Março","Abril","Maio","Junho","Julho","Agosto","Setembro","Outubro","Novembro","Dezembro")</f>
        <v>Setembro</v>
      </c>
    </row>
    <row r="192" customFormat="false" ht="15" hidden="false" customHeight="false" outlineLevel="0" collapsed="false">
      <c r="A192" s="4" t="n">
        <v>1201</v>
      </c>
      <c r="B192" s="5" t="n">
        <v>45910</v>
      </c>
      <c r="C192" s="4" t="s">
        <v>22</v>
      </c>
      <c r="D192" s="4" t="s">
        <v>19</v>
      </c>
      <c r="E192" s="4" t="s">
        <v>15</v>
      </c>
      <c r="F192" s="4" t="s">
        <v>16</v>
      </c>
      <c r="G192" s="4" t="s">
        <v>29</v>
      </c>
      <c r="H192" s="4" t="n">
        <v>2</v>
      </c>
      <c r="I192" s="6" t="n">
        <v>4711.05</v>
      </c>
      <c r="J192" s="6" t="n">
        <f aca="false">H192*I192</f>
        <v>9422.1</v>
      </c>
      <c r="K192" s="4" t="str">
        <f aca="false">CHOOSE(MONTH(B192),"Janeiro","Fevereiro","Março","Abril","Maio","Junho","Julho","Agosto","Setembro","Outubro","Novembro","Dezembro")</f>
        <v>Setembro</v>
      </c>
    </row>
    <row r="193" customFormat="false" ht="15" hidden="false" customHeight="false" outlineLevel="0" collapsed="false">
      <c r="A193" s="4" t="n">
        <v>1182</v>
      </c>
      <c r="B193" s="5" t="n">
        <v>45911</v>
      </c>
      <c r="C193" s="4" t="s">
        <v>13</v>
      </c>
      <c r="D193" s="4" t="s">
        <v>14</v>
      </c>
      <c r="E193" s="4" t="s">
        <v>15</v>
      </c>
      <c r="F193" s="4" t="s">
        <v>16</v>
      </c>
      <c r="G193" s="4" t="s">
        <v>21</v>
      </c>
      <c r="H193" s="4" t="n">
        <v>3</v>
      </c>
      <c r="I193" s="6" t="n">
        <v>244.39</v>
      </c>
      <c r="J193" s="6" t="n">
        <f aca="false">H193*I193</f>
        <v>733.17</v>
      </c>
      <c r="K193" s="4" t="str">
        <f aca="false">CHOOSE(MONTH(B193),"Janeiro","Fevereiro","Março","Abril","Maio","Junho","Julho","Agosto","Setembro","Outubro","Novembro","Dezembro")</f>
        <v>Setembro</v>
      </c>
    </row>
    <row r="194" customFormat="false" ht="15" hidden="false" customHeight="false" outlineLevel="0" collapsed="false">
      <c r="A194" s="4" t="n">
        <v>1187</v>
      </c>
      <c r="B194" s="5" t="n">
        <v>45911</v>
      </c>
      <c r="C194" s="4" t="s">
        <v>36</v>
      </c>
      <c r="D194" s="4" t="s">
        <v>14</v>
      </c>
      <c r="E194" s="4" t="s">
        <v>15</v>
      </c>
      <c r="F194" s="4" t="s">
        <v>16</v>
      </c>
      <c r="G194" s="4" t="s">
        <v>27</v>
      </c>
      <c r="H194" s="4" t="n">
        <v>2</v>
      </c>
      <c r="I194" s="6" t="n">
        <v>201</v>
      </c>
      <c r="J194" s="6" t="n">
        <f aca="false">H194*I194</f>
        <v>402</v>
      </c>
      <c r="K194" s="4" t="str">
        <f aca="false">CHOOSE(MONTH(B194),"Janeiro","Fevereiro","Março","Abril","Maio","Junho","Julho","Agosto","Setembro","Outubro","Novembro","Dezembro")</f>
        <v>Setembro</v>
      </c>
    </row>
    <row r="195" customFormat="false" ht="15" hidden="false" customHeight="false" outlineLevel="0" collapsed="false">
      <c r="A195" s="4" t="n">
        <v>1193</v>
      </c>
      <c r="B195" s="5" t="n">
        <v>45914</v>
      </c>
      <c r="C195" s="4" t="s">
        <v>24</v>
      </c>
      <c r="D195" s="4" t="s">
        <v>25</v>
      </c>
      <c r="E195" s="4" t="s">
        <v>15</v>
      </c>
      <c r="F195" s="4" t="s">
        <v>20</v>
      </c>
      <c r="G195" s="4" t="s">
        <v>23</v>
      </c>
      <c r="H195" s="4" t="n">
        <v>1</v>
      </c>
      <c r="I195" s="6" t="n">
        <v>427.33</v>
      </c>
      <c r="J195" s="6" t="n">
        <f aca="false">H195*I195</f>
        <v>427.33</v>
      </c>
      <c r="K195" s="4" t="str">
        <f aca="false">CHOOSE(MONTH(B195),"Janeiro","Fevereiro","Março","Abril","Maio","Junho","Julho","Agosto","Setembro","Outubro","Novembro","Dezembro")</f>
        <v>Setembro</v>
      </c>
    </row>
    <row r="196" customFormat="false" ht="15" hidden="false" customHeight="false" outlineLevel="0" collapsed="false">
      <c r="A196" s="4" t="n">
        <v>1203</v>
      </c>
      <c r="B196" s="5" t="n">
        <v>45916</v>
      </c>
      <c r="C196" s="4" t="s">
        <v>39</v>
      </c>
      <c r="D196" s="4" t="s">
        <v>25</v>
      </c>
      <c r="E196" s="4" t="s">
        <v>15</v>
      </c>
      <c r="F196" s="4" t="s">
        <v>20</v>
      </c>
      <c r="G196" s="4" t="s">
        <v>27</v>
      </c>
      <c r="H196" s="4" t="n">
        <v>1</v>
      </c>
      <c r="I196" s="6" t="n">
        <v>264.4</v>
      </c>
      <c r="J196" s="6" t="n">
        <f aca="false">H196*I196</f>
        <v>264.4</v>
      </c>
      <c r="K196" s="4" t="str">
        <f aca="false">CHOOSE(MONTH(B196),"Janeiro","Fevereiro","Março","Abril","Maio","Junho","Julho","Agosto","Setembro","Outubro","Novembro","Dezembro")</f>
        <v>Setembro</v>
      </c>
    </row>
    <row r="197" customFormat="false" ht="15" hidden="false" customHeight="false" outlineLevel="0" collapsed="false">
      <c r="A197" s="4" t="n">
        <v>1184</v>
      </c>
      <c r="B197" s="5" t="n">
        <v>45917</v>
      </c>
      <c r="C197" s="4" t="s">
        <v>36</v>
      </c>
      <c r="D197" s="4" t="s">
        <v>14</v>
      </c>
      <c r="E197" s="4" t="s">
        <v>15</v>
      </c>
      <c r="F197" s="4" t="s">
        <v>31</v>
      </c>
      <c r="G197" s="4" t="s">
        <v>37</v>
      </c>
      <c r="H197" s="4" t="n">
        <v>1</v>
      </c>
      <c r="I197" s="6" t="n">
        <v>191.67</v>
      </c>
      <c r="J197" s="6" t="n">
        <f aca="false">H197*I197</f>
        <v>191.67</v>
      </c>
      <c r="K197" s="4" t="str">
        <f aca="false">CHOOSE(MONTH(B197),"Janeiro","Fevereiro","Março","Abril","Maio","Junho","Julho","Agosto","Setembro","Outubro","Novembro","Dezembro")</f>
        <v>Setembro</v>
      </c>
    </row>
    <row r="198" customFormat="false" ht="15" hidden="false" customHeight="false" outlineLevel="0" collapsed="false">
      <c r="A198" s="4" t="n">
        <v>1198</v>
      </c>
      <c r="B198" s="5" t="n">
        <v>45919</v>
      </c>
      <c r="C198" s="4" t="s">
        <v>39</v>
      </c>
      <c r="D198" s="4" t="s">
        <v>25</v>
      </c>
      <c r="E198" s="4" t="s">
        <v>15</v>
      </c>
      <c r="F198" s="4" t="s">
        <v>28</v>
      </c>
      <c r="G198" s="4" t="s">
        <v>37</v>
      </c>
      <c r="H198" s="4" t="n">
        <v>1</v>
      </c>
      <c r="I198" s="6" t="n">
        <v>259.79</v>
      </c>
      <c r="J198" s="6" t="n">
        <f aca="false">H198*I198</f>
        <v>259.79</v>
      </c>
      <c r="K198" s="4" t="str">
        <f aca="false">CHOOSE(MONTH(B198),"Janeiro","Fevereiro","Março","Abril","Maio","Junho","Julho","Agosto","Setembro","Outubro","Novembro","Dezembro")</f>
        <v>Setembro</v>
      </c>
    </row>
    <row r="199" customFormat="false" ht="15" hidden="false" customHeight="false" outlineLevel="0" collapsed="false">
      <c r="A199" s="4" t="n">
        <v>1190</v>
      </c>
      <c r="B199" s="5" t="n">
        <v>45921</v>
      </c>
      <c r="C199" s="4" t="s">
        <v>26</v>
      </c>
      <c r="D199" s="4" t="s">
        <v>14</v>
      </c>
      <c r="E199" s="4" t="s">
        <v>15</v>
      </c>
      <c r="F199" s="4" t="s">
        <v>28</v>
      </c>
      <c r="G199" s="4" t="s">
        <v>37</v>
      </c>
      <c r="H199" s="4" t="n">
        <v>1</v>
      </c>
      <c r="I199" s="6" t="n">
        <v>154.92</v>
      </c>
      <c r="J199" s="6" t="n">
        <f aca="false">H199*I199</f>
        <v>154.92</v>
      </c>
      <c r="K199" s="4" t="str">
        <f aca="false">CHOOSE(MONTH(B199),"Janeiro","Fevereiro","Março","Abril","Maio","Junho","Julho","Agosto","Setembro","Outubro","Novembro","Dezembro")</f>
        <v>Setembro</v>
      </c>
    </row>
    <row r="200" customFormat="false" ht="15" hidden="false" customHeight="false" outlineLevel="0" collapsed="false">
      <c r="A200" s="4" t="n">
        <v>1189</v>
      </c>
      <c r="B200" s="5" t="n">
        <v>45923</v>
      </c>
      <c r="C200" s="4" t="s">
        <v>32</v>
      </c>
      <c r="D200" s="4" t="s">
        <v>14</v>
      </c>
      <c r="E200" s="4" t="s">
        <v>15</v>
      </c>
      <c r="F200" s="4" t="s">
        <v>20</v>
      </c>
      <c r="G200" s="4" t="s">
        <v>23</v>
      </c>
      <c r="H200" s="4" t="n">
        <v>1</v>
      </c>
      <c r="I200" s="6" t="n">
        <v>360.66</v>
      </c>
      <c r="J200" s="6" t="n">
        <f aca="false">H200*I200</f>
        <v>360.66</v>
      </c>
      <c r="K200" s="4" t="str">
        <f aca="false">CHOOSE(MONTH(B200),"Janeiro","Fevereiro","Março","Abril","Maio","Junho","Julho","Agosto","Setembro","Outubro","Novembro","Dezembro")</f>
        <v>Setembro</v>
      </c>
    </row>
    <row r="201" customFormat="false" ht="15" hidden="false" customHeight="false" outlineLevel="0" collapsed="false">
      <c r="A201" s="4" t="n">
        <v>1180</v>
      </c>
      <c r="B201" s="5" t="n">
        <v>45925</v>
      </c>
      <c r="C201" s="4" t="s">
        <v>30</v>
      </c>
      <c r="D201" s="4" t="s">
        <v>14</v>
      </c>
      <c r="E201" s="4" t="s">
        <v>15</v>
      </c>
      <c r="F201" s="4" t="s">
        <v>31</v>
      </c>
      <c r="G201" s="4" t="s">
        <v>21</v>
      </c>
      <c r="H201" s="4" t="n">
        <v>1</v>
      </c>
      <c r="I201" s="6" t="n">
        <v>241.29</v>
      </c>
      <c r="J201" s="6" t="n">
        <f aca="false">H201*I201</f>
        <v>241.29</v>
      </c>
      <c r="K201" s="4" t="str">
        <f aca="false">CHOOSE(MONTH(B201),"Janeiro","Fevereiro","Março","Abril","Maio","Junho","Julho","Agosto","Setembro","Outubro","Novembro","Dezembro")</f>
        <v>Setembro</v>
      </c>
    </row>
    <row r="202" customFormat="false" ht="15" hidden="false" customHeight="false" outlineLevel="0" collapsed="false">
      <c r="A202" s="4" t="n">
        <v>1205</v>
      </c>
      <c r="B202" s="5" t="n">
        <v>45925</v>
      </c>
      <c r="C202" s="4" t="s">
        <v>26</v>
      </c>
      <c r="D202" s="4" t="s">
        <v>14</v>
      </c>
      <c r="E202" s="4" t="s">
        <v>15</v>
      </c>
      <c r="F202" s="4" t="s">
        <v>28</v>
      </c>
      <c r="G202" s="4" t="s">
        <v>21</v>
      </c>
      <c r="H202" s="4" t="n">
        <v>1</v>
      </c>
      <c r="I202" s="6" t="n">
        <v>150.27</v>
      </c>
      <c r="J202" s="6" t="n">
        <f aca="false">H202*I202</f>
        <v>150.27</v>
      </c>
      <c r="K202" s="4" t="str">
        <f aca="false">CHOOSE(MONTH(B202),"Janeiro","Fevereiro","Março","Abril","Maio","Junho","Julho","Agosto","Setembro","Outubro","Novembro","Dezembro")</f>
        <v>Setembro</v>
      </c>
    </row>
    <row r="203" customFormat="false" ht="15" hidden="false" customHeight="false" outlineLevel="0" collapsed="false">
      <c r="A203" s="4" t="n">
        <v>1183</v>
      </c>
      <c r="B203" s="5" t="n">
        <v>45926</v>
      </c>
      <c r="C203" s="4" t="s">
        <v>26</v>
      </c>
      <c r="D203" s="4" t="s">
        <v>14</v>
      </c>
      <c r="E203" s="4" t="s">
        <v>15</v>
      </c>
      <c r="F203" s="4" t="s">
        <v>38</v>
      </c>
      <c r="G203" s="4" t="s">
        <v>23</v>
      </c>
      <c r="H203" s="4" t="n">
        <v>1</v>
      </c>
      <c r="I203" s="6" t="n">
        <v>156.08</v>
      </c>
      <c r="J203" s="6" t="n">
        <f aca="false">H203*I203</f>
        <v>156.08</v>
      </c>
      <c r="K203" s="4" t="str">
        <f aca="false">CHOOSE(MONTH(B203),"Janeiro","Fevereiro","Março","Abril","Maio","Junho","Julho","Agosto","Setembro","Outubro","Novembro","Dezembro")</f>
        <v>Setembro</v>
      </c>
    </row>
    <row r="204" customFormat="false" ht="15" hidden="false" customHeight="false" outlineLevel="0" collapsed="false">
      <c r="A204" s="4" t="n">
        <v>1179</v>
      </c>
      <c r="B204" s="5" t="n">
        <v>45928</v>
      </c>
      <c r="C204" s="4" t="s">
        <v>24</v>
      </c>
      <c r="D204" s="4" t="s">
        <v>25</v>
      </c>
      <c r="E204" s="4" t="s">
        <v>15</v>
      </c>
      <c r="F204" s="4" t="s">
        <v>16</v>
      </c>
      <c r="G204" s="4" t="s">
        <v>29</v>
      </c>
      <c r="H204" s="4" t="n">
        <v>1</v>
      </c>
      <c r="I204" s="6" t="n">
        <v>439.14</v>
      </c>
      <c r="J204" s="6" t="n">
        <f aca="false">H204*I204</f>
        <v>439.14</v>
      </c>
      <c r="K204" s="4" t="str">
        <f aca="false">CHOOSE(MONTH(B204),"Janeiro","Fevereiro","Março","Abril","Maio","Junho","Julho","Agosto","Setembro","Outubro","Novembro","Dezembro")</f>
        <v>Setembro</v>
      </c>
    </row>
    <row r="205" customFormat="false" ht="15" hidden="false" customHeight="false" outlineLevel="0" collapsed="false">
      <c r="A205" s="4" t="n">
        <v>1186</v>
      </c>
      <c r="B205" s="5" t="n">
        <v>45928</v>
      </c>
      <c r="C205" s="4" t="s">
        <v>26</v>
      </c>
      <c r="D205" s="4" t="s">
        <v>14</v>
      </c>
      <c r="E205" s="4" t="s">
        <v>15</v>
      </c>
      <c r="F205" s="4" t="s">
        <v>20</v>
      </c>
      <c r="G205" s="4" t="s">
        <v>27</v>
      </c>
      <c r="H205" s="4" t="n">
        <v>1</v>
      </c>
      <c r="I205" s="6" t="n">
        <v>155.87</v>
      </c>
      <c r="J205" s="6" t="n">
        <f aca="false">H205*I205</f>
        <v>155.87</v>
      </c>
      <c r="K205" s="4" t="str">
        <f aca="false">CHOOSE(MONTH(B205),"Janeiro","Fevereiro","Março","Abril","Maio","Junho","Julho","Agosto","Setembro","Outubro","Novembro","Dezembro")</f>
        <v>Setembro</v>
      </c>
    </row>
    <row r="206" customFormat="false" ht="15" hidden="false" customHeight="false" outlineLevel="0" collapsed="false">
      <c r="A206" s="4" t="n">
        <v>1188</v>
      </c>
      <c r="B206" s="5" t="n">
        <v>45928</v>
      </c>
      <c r="C206" s="4" t="s">
        <v>26</v>
      </c>
      <c r="D206" s="4" t="s">
        <v>14</v>
      </c>
      <c r="E206" s="4" t="s">
        <v>15</v>
      </c>
      <c r="F206" s="4" t="s">
        <v>38</v>
      </c>
      <c r="G206" s="4" t="s">
        <v>21</v>
      </c>
      <c r="H206" s="4" t="n">
        <v>1</v>
      </c>
      <c r="I206" s="6" t="n">
        <v>153.73</v>
      </c>
      <c r="J206" s="6" t="n">
        <f aca="false">H206*I206</f>
        <v>153.73</v>
      </c>
      <c r="K206" s="4" t="str">
        <f aca="false">CHOOSE(MONTH(B206),"Janeiro","Fevereiro","Março","Abril","Maio","Junho","Julho","Agosto","Setembro","Outubro","Novembro","Dezembro")</f>
        <v>Setembro</v>
      </c>
    </row>
    <row r="207" customFormat="false" ht="15" hidden="false" customHeight="false" outlineLevel="0" collapsed="false">
      <c r="A207" s="4" t="n">
        <v>1199</v>
      </c>
      <c r="B207" s="5" t="n">
        <v>45928</v>
      </c>
      <c r="C207" s="4" t="s">
        <v>39</v>
      </c>
      <c r="D207" s="4" t="s">
        <v>25</v>
      </c>
      <c r="E207" s="4" t="s">
        <v>15</v>
      </c>
      <c r="F207" s="4" t="s">
        <v>31</v>
      </c>
      <c r="G207" s="4" t="s">
        <v>17</v>
      </c>
      <c r="H207" s="4" t="n">
        <v>1</v>
      </c>
      <c r="I207" s="6" t="n">
        <v>244.99</v>
      </c>
      <c r="J207" s="6" t="n">
        <f aca="false">H207*I207</f>
        <v>244.99</v>
      </c>
      <c r="K207" s="4" t="str">
        <f aca="false">CHOOSE(MONTH(B207),"Janeiro","Fevereiro","Março","Abril","Maio","Junho","Julho","Agosto","Setembro","Outubro","Novembro","Dezembro")</f>
        <v>Setembro</v>
      </c>
    </row>
    <row r="208" customFormat="false" ht="15" hidden="false" customHeight="false" outlineLevel="0" collapsed="false">
      <c r="A208" s="4" t="n">
        <v>1202</v>
      </c>
      <c r="B208" s="5" t="n">
        <v>45928</v>
      </c>
      <c r="C208" s="4" t="s">
        <v>26</v>
      </c>
      <c r="D208" s="4" t="s">
        <v>14</v>
      </c>
      <c r="E208" s="4" t="s">
        <v>15</v>
      </c>
      <c r="F208" s="4" t="s">
        <v>31</v>
      </c>
      <c r="G208" s="4" t="s">
        <v>21</v>
      </c>
      <c r="H208" s="4" t="n">
        <v>1</v>
      </c>
      <c r="I208" s="6" t="n">
        <v>152.16</v>
      </c>
      <c r="J208" s="6" t="n">
        <f aca="false">H208*I208</f>
        <v>152.16</v>
      </c>
      <c r="K208" s="4" t="str">
        <f aca="false">CHOOSE(MONTH(B208),"Janeiro","Fevereiro","Março","Abril","Maio","Junho","Julho","Agosto","Setembro","Outubro","Novembro","Dezembro")</f>
        <v>Setembro</v>
      </c>
    </row>
    <row r="209" customFormat="false" ht="15" hidden="false" customHeight="false" outlineLevel="0" collapsed="false">
      <c r="A209" s="4" t="n">
        <v>1197</v>
      </c>
      <c r="B209" s="5" t="n">
        <v>45929</v>
      </c>
      <c r="C209" s="4" t="s">
        <v>39</v>
      </c>
      <c r="D209" s="4" t="s">
        <v>25</v>
      </c>
      <c r="E209" s="4" t="s">
        <v>15</v>
      </c>
      <c r="F209" s="4" t="s">
        <v>16</v>
      </c>
      <c r="G209" s="4" t="s">
        <v>27</v>
      </c>
      <c r="H209" s="4" t="n">
        <v>1</v>
      </c>
      <c r="I209" s="6" t="n">
        <v>261.1</v>
      </c>
      <c r="J209" s="6" t="n">
        <f aca="false">H209*I209</f>
        <v>261.1</v>
      </c>
      <c r="K209" s="4" t="str">
        <f aca="false">CHOOSE(MONTH(B209),"Janeiro","Fevereiro","Março","Abril","Maio","Junho","Julho","Agosto","Setembro","Outubro","Novembro","Dezembro")</f>
        <v>Setembro</v>
      </c>
    </row>
    <row r="210" customFormat="false" ht="15" hidden="false" customHeight="false" outlineLevel="0" collapsed="false">
      <c r="A210" s="4" t="n">
        <v>1227</v>
      </c>
      <c r="B210" s="5" t="n">
        <v>45933</v>
      </c>
      <c r="C210" s="4" t="s">
        <v>30</v>
      </c>
      <c r="D210" s="4" t="s">
        <v>14</v>
      </c>
      <c r="E210" s="4" t="s">
        <v>15</v>
      </c>
      <c r="F210" s="4" t="s">
        <v>28</v>
      </c>
      <c r="G210" s="4" t="s">
        <v>23</v>
      </c>
      <c r="H210" s="4" t="n">
        <v>1</v>
      </c>
      <c r="I210" s="6" t="n">
        <v>235.79</v>
      </c>
      <c r="J210" s="6" t="n">
        <f aca="false">H210*I210</f>
        <v>235.79</v>
      </c>
      <c r="K210" s="4" t="str">
        <f aca="false">CHOOSE(MONTH(B210),"Janeiro","Fevereiro","Março","Abril","Maio","Junho","Julho","Agosto","Setembro","Outubro","Novembro","Dezembro")</f>
        <v>Outubro</v>
      </c>
    </row>
    <row r="211" customFormat="false" ht="15" hidden="false" customHeight="false" outlineLevel="0" collapsed="false">
      <c r="A211" s="4" t="n">
        <v>1218</v>
      </c>
      <c r="B211" s="5" t="n">
        <v>45934</v>
      </c>
      <c r="C211" s="4" t="s">
        <v>33</v>
      </c>
      <c r="D211" s="4" t="s">
        <v>25</v>
      </c>
      <c r="E211" s="4" t="s">
        <v>15</v>
      </c>
      <c r="F211" s="4" t="s">
        <v>16</v>
      </c>
      <c r="G211" s="4" t="s">
        <v>27</v>
      </c>
      <c r="H211" s="4" t="n">
        <v>1</v>
      </c>
      <c r="I211" s="6" t="n">
        <v>309.57</v>
      </c>
      <c r="J211" s="6" t="n">
        <f aca="false">H211*I211</f>
        <v>309.57</v>
      </c>
      <c r="K211" s="4" t="str">
        <f aca="false">CHOOSE(MONTH(B211),"Janeiro","Fevereiro","Março","Abril","Maio","Junho","Julho","Agosto","Setembro","Outubro","Novembro","Dezembro")</f>
        <v>Outubro</v>
      </c>
    </row>
    <row r="212" customFormat="false" ht="15" hidden="false" customHeight="false" outlineLevel="0" collapsed="false">
      <c r="A212" s="4" t="n">
        <v>1217</v>
      </c>
      <c r="B212" s="5" t="n">
        <v>45935</v>
      </c>
      <c r="C212" s="4" t="s">
        <v>22</v>
      </c>
      <c r="D212" s="4" t="s">
        <v>19</v>
      </c>
      <c r="E212" s="4" t="s">
        <v>15</v>
      </c>
      <c r="F212" s="4" t="s">
        <v>38</v>
      </c>
      <c r="G212" s="4" t="s">
        <v>17</v>
      </c>
      <c r="H212" s="4" t="n">
        <v>1</v>
      </c>
      <c r="I212" s="6" t="n">
        <v>4692.52</v>
      </c>
      <c r="J212" s="6" t="n">
        <f aca="false">H212*I212</f>
        <v>4692.52</v>
      </c>
      <c r="K212" s="4" t="str">
        <f aca="false">CHOOSE(MONTH(B212),"Janeiro","Fevereiro","Março","Abril","Maio","Junho","Julho","Agosto","Setembro","Outubro","Novembro","Dezembro")</f>
        <v>Outubro</v>
      </c>
    </row>
    <row r="213" customFormat="false" ht="15" hidden="false" customHeight="false" outlineLevel="0" collapsed="false">
      <c r="A213" s="4" t="n">
        <v>1229</v>
      </c>
      <c r="B213" s="5" t="n">
        <v>45935</v>
      </c>
      <c r="C213" s="4" t="s">
        <v>30</v>
      </c>
      <c r="D213" s="4" t="s">
        <v>14</v>
      </c>
      <c r="E213" s="4" t="s">
        <v>15</v>
      </c>
      <c r="F213" s="4" t="s">
        <v>16</v>
      </c>
      <c r="G213" s="4" t="s">
        <v>17</v>
      </c>
      <c r="H213" s="4" t="n">
        <v>1</v>
      </c>
      <c r="I213" s="6" t="n">
        <v>237.19</v>
      </c>
      <c r="J213" s="6" t="n">
        <f aca="false">H213*I213</f>
        <v>237.19</v>
      </c>
      <c r="K213" s="4" t="str">
        <f aca="false">CHOOSE(MONTH(B213),"Janeiro","Fevereiro","Março","Abril","Maio","Junho","Julho","Agosto","Setembro","Outubro","Novembro","Dezembro")</f>
        <v>Outubro</v>
      </c>
    </row>
    <row r="214" customFormat="false" ht="15" hidden="false" customHeight="false" outlineLevel="0" collapsed="false">
      <c r="A214" s="4" t="n">
        <v>1222</v>
      </c>
      <c r="B214" s="5" t="n">
        <v>45937</v>
      </c>
      <c r="C214" s="4" t="s">
        <v>32</v>
      </c>
      <c r="D214" s="4" t="s">
        <v>14</v>
      </c>
      <c r="E214" s="4" t="s">
        <v>15</v>
      </c>
      <c r="F214" s="4" t="s">
        <v>31</v>
      </c>
      <c r="G214" s="4" t="s">
        <v>17</v>
      </c>
      <c r="H214" s="4" t="n">
        <v>1</v>
      </c>
      <c r="I214" s="6" t="n">
        <v>341.26</v>
      </c>
      <c r="J214" s="6" t="n">
        <f aca="false">H214*I214</f>
        <v>341.26</v>
      </c>
      <c r="K214" s="4" t="str">
        <f aca="false">CHOOSE(MONTH(B214),"Janeiro","Fevereiro","Março","Abril","Maio","Junho","Julho","Agosto","Setembro","Outubro","Novembro","Dezembro")</f>
        <v>Outubro</v>
      </c>
    </row>
    <row r="215" customFormat="false" ht="15" hidden="false" customHeight="false" outlineLevel="0" collapsed="false">
      <c r="A215" s="4" t="n">
        <v>1224</v>
      </c>
      <c r="B215" s="5" t="n">
        <v>45939</v>
      </c>
      <c r="C215" s="4" t="s">
        <v>33</v>
      </c>
      <c r="D215" s="4" t="s">
        <v>25</v>
      </c>
      <c r="E215" s="4" t="s">
        <v>15</v>
      </c>
      <c r="F215" s="4" t="s">
        <v>31</v>
      </c>
      <c r="G215" s="4" t="s">
        <v>17</v>
      </c>
      <c r="H215" s="4" t="n">
        <v>3</v>
      </c>
      <c r="I215" s="6" t="n">
        <v>312.71</v>
      </c>
      <c r="J215" s="6" t="n">
        <f aca="false">H215*I215</f>
        <v>938.13</v>
      </c>
      <c r="K215" s="4" t="str">
        <f aca="false">CHOOSE(MONTH(B215),"Janeiro","Fevereiro","Março","Abril","Maio","Junho","Julho","Agosto","Setembro","Outubro","Novembro","Dezembro")</f>
        <v>Outubro</v>
      </c>
    </row>
    <row r="216" customFormat="false" ht="15" hidden="false" customHeight="false" outlineLevel="0" collapsed="false">
      <c r="A216" s="4" t="n">
        <v>1206</v>
      </c>
      <c r="B216" s="5" t="n">
        <v>45940</v>
      </c>
      <c r="C216" s="4" t="s">
        <v>32</v>
      </c>
      <c r="D216" s="4" t="s">
        <v>14</v>
      </c>
      <c r="E216" s="4" t="s">
        <v>15</v>
      </c>
      <c r="F216" s="4" t="s">
        <v>28</v>
      </c>
      <c r="G216" s="4" t="s">
        <v>17</v>
      </c>
      <c r="H216" s="4" t="n">
        <v>1</v>
      </c>
      <c r="I216" s="6" t="n">
        <v>322.59</v>
      </c>
      <c r="J216" s="6" t="n">
        <f aca="false">H216*I216</f>
        <v>322.59</v>
      </c>
      <c r="K216" s="4" t="str">
        <f aca="false">CHOOSE(MONTH(B216),"Janeiro","Fevereiro","Março","Abril","Maio","Junho","Julho","Agosto","Setembro","Outubro","Novembro","Dezembro")</f>
        <v>Outubro</v>
      </c>
    </row>
    <row r="217" customFormat="false" ht="15" hidden="false" customHeight="false" outlineLevel="0" collapsed="false">
      <c r="A217" s="4" t="n">
        <v>1228</v>
      </c>
      <c r="B217" s="5" t="n">
        <v>45941</v>
      </c>
      <c r="C217" s="4" t="s">
        <v>24</v>
      </c>
      <c r="D217" s="4" t="s">
        <v>25</v>
      </c>
      <c r="E217" s="4" t="s">
        <v>15</v>
      </c>
      <c r="F217" s="4" t="s">
        <v>16</v>
      </c>
      <c r="G217" s="4" t="s">
        <v>23</v>
      </c>
      <c r="H217" s="4" t="n">
        <v>2</v>
      </c>
      <c r="I217" s="6" t="n">
        <v>459.11</v>
      </c>
      <c r="J217" s="6" t="n">
        <f aca="false">H217*I217</f>
        <v>918.22</v>
      </c>
      <c r="K217" s="4" t="str">
        <f aca="false">CHOOSE(MONTH(B217),"Janeiro","Fevereiro","Março","Abril","Maio","Junho","Julho","Agosto","Setembro","Outubro","Novembro","Dezembro")</f>
        <v>Outubro</v>
      </c>
    </row>
    <row r="218" customFormat="false" ht="15" hidden="false" customHeight="false" outlineLevel="0" collapsed="false">
      <c r="A218" s="4" t="n">
        <v>1213</v>
      </c>
      <c r="B218" s="5" t="n">
        <v>45948</v>
      </c>
      <c r="C218" s="4" t="s">
        <v>18</v>
      </c>
      <c r="D218" s="4" t="s">
        <v>19</v>
      </c>
      <c r="E218" s="4" t="s">
        <v>15</v>
      </c>
      <c r="F218" s="4" t="s">
        <v>20</v>
      </c>
      <c r="G218" s="4" t="s">
        <v>21</v>
      </c>
      <c r="H218" s="4" t="n">
        <v>1</v>
      </c>
      <c r="I218" s="6" t="n">
        <v>2642.65</v>
      </c>
      <c r="J218" s="6" t="n">
        <f aca="false">H218*I218</f>
        <v>2642.65</v>
      </c>
      <c r="K218" s="4" t="str">
        <f aca="false">CHOOSE(MONTH(B218),"Janeiro","Fevereiro","Março","Abril","Maio","Junho","Julho","Agosto","Setembro","Outubro","Novembro","Dezembro")</f>
        <v>Outubro</v>
      </c>
    </row>
    <row r="219" customFormat="false" ht="15" hidden="false" customHeight="false" outlineLevel="0" collapsed="false">
      <c r="A219" s="4" t="n">
        <v>1221</v>
      </c>
      <c r="B219" s="5" t="n">
        <v>45950</v>
      </c>
      <c r="C219" s="4" t="s">
        <v>40</v>
      </c>
      <c r="D219" s="4" t="s">
        <v>14</v>
      </c>
      <c r="E219" s="4" t="s">
        <v>15</v>
      </c>
      <c r="F219" s="4" t="s">
        <v>16</v>
      </c>
      <c r="G219" s="4" t="s">
        <v>27</v>
      </c>
      <c r="H219" s="4" t="n">
        <v>1</v>
      </c>
      <c r="I219" s="6" t="n">
        <v>311.58</v>
      </c>
      <c r="J219" s="6" t="n">
        <f aca="false">H219*I219</f>
        <v>311.58</v>
      </c>
      <c r="K219" s="4" t="str">
        <f aca="false">CHOOSE(MONTH(B219),"Janeiro","Fevereiro","Março","Abril","Maio","Junho","Julho","Agosto","Setembro","Outubro","Novembro","Dezembro")</f>
        <v>Outubro</v>
      </c>
    </row>
    <row r="220" customFormat="false" ht="15" hidden="false" customHeight="false" outlineLevel="0" collapsed="false">
      <c r="A220" s="4" t="n">
        <v>1216</v>
      </c>
      <c r="B220" s="5" t="n">
        <v>45951</v>
      </c>
      <c r="C220" s="4" t="s">
        <v>32</v>
      </c>
      <c r="D220" s="4" t="s">
        <v>14</v>
      </c>
      <c r="E220" s="4" t="s">
        <v>15</v>
      </c>
      <c r="F220" s="4" t="s">
        <v>28</v>
      </c>
      <c r="G220" s="4" t="s">
        <v>17</v>
      </c>
      <c r="H220" s="4" t="n">
        <v>1</v>
      </c>
      <c r="I220" s="6" t="n">
        <v>362.34</v>
      </c>
      <c r="J220" s="6" t="n">
        <f aca="false">H220*I220</f>
        <v>362.34</v>
      </c>
      <c r="K220" s="4" t="str">
        <f aca="false">CHOOSE(MONTH(B220),"Janeiro","Fevereiro","Março","Abril","Maio","Junho","Julho","Agosto","Setembro","Outubro","Novembro","Dezembro")</f>
        <v>Outubro</v>
      </c>
    </row>
    <row r="221" customFormat="false" ht="15" hidden="false" customHeight="false" outlineLevel="0" collapsed="false">
      <c r="A221" s="4" t="n">
        <v>1219</v>
      </c>
      <c r="B221" s="5" t="n">
        <v>45952</v>
      </c>
      <c r="C221" s="4" t="s">
        <v>13</v>
      </c>
      <c r="D221" s="4" t="s">
        <v>14</v>
      </c>
      <c r="E221" s="4" t="s">
        <v>15</v>
      </c>
      <c r="F221" s="4" t="s">
        <v>20</v>
      </c>
      <c r="G221" s="4" t="s">
        <v>21</v>
      </c>
      <c r="H221" s="4" t="n">
        <v>2</v>
      </c>
      <c r="I221" s="6" t="n">
        <v>251.63</v>
      </c>
      <c r="J221" s="6" t="n">
        <f aca="false">H221*I221</f>
        <v>503.26</v>
      </c>
      <c r="K221" s="4" t="str">
        <f aca="false">CHOOSE(MONTH(B221),"Janeiro","Fevereiro","Março","Abril","Maio","Junho","Julho","Agosto","Setembro","Outubro","Novembro","Dezembro")</f>
        <v>Outubro</v>
      </c>
    </row>
    <row r="222" customFormat="false" ht="15" hidden="false" customHeight="false" outlineLevel="0" collapsed="false">
      <c r="A222" s="4" t="n">
        <v>1223</v>
      </c>
      <c r="B222" s="5" t="n">
        <v>45952</v>
      </c>
      <c r="C222" s="4" t="s">
        <v>34</v>
      </c>
      <c r="D222" s="4" t="s">
        <v>35</v>
      </c>
      <c r="E222" s="4" t="s">
        <v>15</v>
      </c>
      <c r="F222" s="4" t="s">
        <v>16</v>
      </c>
      <c r="G222" s="4" t="s">
        <v>37</v>
      </c>
      <c r="H222" s="4" t="n">
        <v>2</v>
      </c>
      <c r="I222" s="6" t="n">
        <v>49.53</v>
      </c>
      <c r="J222" s="6" t="n">
        <f aca="false">H222*I222</f>
        <v>99.06</v>
      </c>
      <c r="K222" s="4" t="str">
        <f aca="false">CHOOSE(MONTH(B222),"Janeiro","Fevereiro","Março","Abril","Maio","Junho","Julho","Agosto","Setembro","Outubro","Novembro","Dezembro")</f>
        <v>Outubro</v>
      </c>
    </row>
    <row r="223" customFormat="false" ht="15" hidden="false" customHeight="false" outlineLevel="0" collapsed="false">
      <c r="A223" s="4" t="n">
        <v>1225</v>
      </c>
      <c r="B223" s="5" t="n">
        <v>45952</v>
      </c>
      <c r="C223" s="4" t="s">
        <v>33</v>
      </c>
      <c r="D223" s="4" t="s">
        <v>25</v>
      </c>
      <c r="E223" s="4" t="s">
        <v>15</v>
      </c>
      <c r="F223" s="4" t="s">
        <v>38</v>
      </c>
      <c r="G223" s="4" t="s">
        <v>17</v>
      </c>
      <c r="H223" s="4" t="n">
        <v>2</v>
      </c>
      <c r="I223" s="6" t="n">
        <v>300.02</v>
      </c>
      <c r="J223" s="6" t="n">
        <f aca="false">H223*I223</f>
        <v>600.04</v>
      </c>
      <c r="K223" s="4" t="str">
        <f aca="false">CHOOSE(MONTH(B223),"Janeiro","Fevereiro","Março","Abril","Maio","Junho","Julho","Agosto","Setembro","Outubro","Novembro","Dezembro")</f>
        <v>Outubro</v>
      </c>
    </row>
    <row r="224" customFormat="false" ht="15" hidden="false" customHeight="false" outlineLevel="0" collapsed="false">
      <c r="A224" s="4" t="n">
        <v>1210</v>
      </c>
      <c r="B224" s="5" t="n">
        <v>45954</v>
      </c>
      <c r="C224" s="4" t="s">
        <v>34</v>
      </c>
      <c r="D224" s="4" t="s">
        <v>35</v>
      </c>
      <c r="E224" s="4" t="s">
        <v>15</v>
      </c>
      <c r="F224" s="4" t="s">
        <v>38</v>
      </c>
      <c r="G224" s="4" t="s">
        <v>23</v>
      </c>
      <c r="H224" s="4" t="n">
        <v>1</v>
      </c>
      <c r="I224" s="6" t="n">
        <v>51.22</v>
      </c>
      <c r="J224" s="6" t="n">
        <f aca="false">H224*I224</f>
        <v>51.22</v>
      </c>
      <c r="K224" s="4" t="str">
        <f aca="false">CHOOSE(MONTH(B224),"Janeiro","Fevereiro","Março","Abril","Maio","Junho","Julho","Agosto","Setembro","Outubro","Novembro","Dezembro")</f>
        <v>Outubro</v>
      </c>
    </row>
    <row r="225" customFormat="false" ht="15" hidden="false" customHeight="false" outlineLevel="0" collapsed="false">
      <c r="A225" s="4" t="n">
        <v>1220</v>
      </c>
      <c r="B225" s="5" t="n">
        <v>45954</v>
      </c>
      <c r="C225" s="4" t="s">
        <v>24</v>
      </c>
      <c r="D225" s="4" t="s">
        <v>25</v>
      </c>
      <c r="E225" s="4" t="s">
        <v>15</v>
      </c>
      <c r="F225" s="4" t="s">
        <v>16</v>
      </c>
      <c r="G225" s="4" t="s">
        <v>37</v>
      </c>
      <c r="H225" s="4" t="n">
        <v>2</v>
      </c>
      <c r="I225" s="6" t="n">
        <v>464.76</v>
      </c>
      <c r="J225" s="6" t="n">
        <f aca="false">H225*I225</f>
        <v>929.52</v>
      </c>
      <c r="K225" s="4" t="str">
        <f aca="false">CHOOSE(MONTH(B225),"Janeiro","Fevereiro","Março","Abril","Maio","Junho","Julho","Agosto","Setembro","Outubro","Novembro","Dezembro")</f>
        <v>Outubro</v>
      </c>
    </row>
    <row r="226" customFormat="false" ht="15" hidden="false" customHeight="false" outlineLevel="0" collapsed="false">
      <c r="A226" s="4" t="n">
        <v>1211</v>
      </c>
      <c r="B226" s="5" t="n">
        <v>45955</v>
      </c>
      <c r="C226" s="4" t="s">
        <v>33</v>
      </c>
      <c r="D226" s="4" t="s">
        <v>25</v>
      </c>
      <c r="E226" s="4" t="s">
        <v>15</v>
      </c>
      <c r="F226" s="4" t="s">
        <v>28</v>
      </c>
      <c r="G226" s="4" t="s">
        <v>37</v>
      </c>
      <c r="H226" s="4" t="n">
        <v>2</v>
      </c>
      <c r="I226" s="6" t="n">
        <v>308.51</v>
      </c>
      <c r="J226" s="6" t="n">
        <f aca="false">H226*I226</f>
        <v>617.02</v>
      </c>
      <c r="K226" s="4" t="str">
        <f aca="false">CHOOSE(MONTH(B226),"Janeiro","Fevereiro","Março","Abril","Maio","Junho","Julho","Agosto","Setembro","Outubro","Novembro","Dezembro")</f>
        <v>Outubro</v>
      </c>
    </row>
    <row r="227" customFormat="false" ht="15" hidden="false" customHeight="false" outlineLevel="0" collapsed="false">
      <c r="A227" s="4" t="n">
        <v>1208</v>
      </c>
      <c r="B227" s="5" t="n">
        <v>45956</v>
      </c>
      <c r="C227" s="4" t="s">
        <v>30</v>
      </c>
      <c r="D227" s="4" t="s">
        <v>14</v>
      </c>
      <c r="E227" s="4" t="s">
        <v>15</v>
      </c>
      <c r="F227" s="4" t="s">
        <v>20</v>
      </c>
      <c r="G227" s="4" t="s">
        <v>27</v>
      </c>
      <c r="H227" s="4" t="n">
        <v>1</v>
      </c>
      <c r="I227" s="6" t="n">
        <v>257.45</v>
      </c>
      <c r="J227" s="6" t="n">
        <f aca="false">H227*I227</f>
        <v>257.45</v>
      </c>
      <c r="K227" s="4" t="str">
        <f aca="false">CHOOSE(MONTH(B227),"Janeiro","Fevereiro","Março","Abril","Maio","Junho","Julho","Agosto","Setembro","Outubro","Novembro","Dezembro")</f>
        <v>Outubro</v>
      </c>
    </row>
    <row r="228" customFormat="false" ht="15" hidden="false" customHeight="false" outlineLevel="0" collapsed="false">
      <c r="A228" s="4" t="n">
        <v>1226</v>
      </c>
      <c r="B228" s="5" t="n">
        <v>45956</v>
      </c>
      <c r="C228" s="4" t="s">
        <v>34</v>
      </c>
      <c r="D228" s="4" t="s">
        <v>35</v>
      </c>
      <c r="E228" s="4" t="s">
        <v>15</v>
      </c>
      <c r="F228" s="4" t="s">
        <v>28</v>
      </c>
      <c r="G228" s="4" t="s">
        <v>23</v>
      </c>
      <c r="H228" s="4" t="n">
        <v>1</v>
      </c>
      <c r="I228" s="6" t="n">
        <v>47.57</v>
      </c>
      <c r="J228" s="6" t="n">
        <f aca="false">H228*I228</f>
        <v>47.57</v>
      </c>
      <c r="K228" s="4" t="str">
        <f aca="false">CHOOSE(MONTH(B228),"Janeiro","Fevereiro","Março","Abril","Maio","Junho","Julho","Agosto","Setembro","Outubro","Novembro","Dezembro")</f>
        <v>Outubro</v>
      </c>
    </row>
    <row r="229" customFormat="false" ht="15" hidden="false" customHeight="false" outlineLevel="0" collapsed="false">
      <c r="A229" s="4" t="n">
        <v>1209</v>
      </c>
      <c r="B229" s="5" t="n">
        <v>45957</v>
      </c>
      <c r="C229" s="4" t="s">
        <v>24</v>
      </c>
      <c r="D229" s="4" t="s">
        <v>25</v>
      </c>
      <c r="E229" s="4" t="s">
        <v>15</v>
      </c>
      <c r="F229" s="4" t="s">
        <v>38</v>
      </c>
      <c r="G229" s="4" t="s">
        <v>27</v>
      </c>
      <c r="H229" s="4" t="n">
        <v>3</v>
      </c>
      <c r="I229" s="6" t="n">
        <v>428.08</v>
      </c>
      <c r="J229" s="6" t="n">
        <f aca="false">H229*I229</f>
        <v>1284.24</v>
      </c>
      <c r="K229" s="4" t="str">
        <f aca="false">CHOOSE(MONTH(B229),"Janeiro","Fevereiro","Março","Abril","Maio","Junho","Julho","Agosto","Setembro","Outubro","Novembro","Dezembro")</f>
        <v>Outubro</v>
      </c>
    </row>
    <row r="230" customFormat="false" ht="15" hidden="false" customHeight="false" outlineLevel="0" collapsed="false">
      <c r="A230" s="4" t="n">
        <v>1215</v>
      </c>
      <c r="B230" s="5" t="n">
        <v>45959</v>
      </c>
      <c r="C230" s="4" t="s">
        <v>30</v>
      </c>
      <c r="D230" s="4" t="s">
        <v>14</v>
      </c>
      <c r="E230" s="4" t="s">
        <v>15</v>
      </c>
      <c r="F230" s="4" t="s">
        <v>16</v>
      </c>
      <c r="G230" s="4" t="s">
        <v>17</v>
      </c>
      <c r="H230" s="4" t="n">
        <v>2</v>
      </c>
      <c r="I230" s="6" t="n">
        <v>239.7</v>
      </c>
      <c r="J230" s="6" t="n">
        <f aca="false">H230*I230</f>
        <v>479.4</v>
      </c>
      <c r="K230" s="4" t="str">
        <f aca="false">CHOOSE(MONTH(B230),"Janeiro","Fevereiro","Março","Abril","Maio","Junho","Julho","Agosto","Setembro","Outubro","Novembro","Dezembro")</f>
        <v>Outubro</v>
      </c>
    </row>
    <row r="231" customFormat="false" ht="15" hidden="false" customHeight="false" outlineLevel="0" collapsed="false">
      <c r="A231" s="4" t="n">
        <v>1207</v>
      </c>
      <c r="B231" s="5" t="n">
        <v>45960</v>
      </c>
      <c r="C231" s="4" t="s">
        <v>39</v>
      </c>
      <c r="D231" s="4" t="s">
        <v>25</v>
      </c>
      <c r="E231" s="4" t="s">
        <v>15</v>
      </c>
      <c r="F231" s="4" t="s">
        <v>16</v>
      </c>
      <c r="G231" s="4" t="s">
        <v>23</v>
      </c>
      <c r="H231" s="4" t="n">
        <v>1</v>
      </c>
      <c r="I231" s="6" t="n">
        <v>249.28</v>
      </c>
      <c r="J231" s="6" t="n">
        <f aca="false">H231*I231</f>
        <v>249.28</v>
      </c>
      <c r="K231" s="4" t="str">
        <f aca="false">CHOOSE(MONTH(B231),"Janeiro","Fevereiro","Março","Abril","Maio","Junho","Julho","Agosto","Setembro","Outubro","Novembro","Dezembro")</f>
        <v>Outubro</v>
      </c>
    </row>
    <row r="232" customFormat="false" ht="15" hidden="false" customHeight="false" outlineLevel="0" collapsed="false">
      <c r="A232" s="4" t="n">
        <v>1212</v>
      </c>
      <c r="B232" s="5" t="n">
        <v>45961</v>
      </c>
      <c r="C232" s="4" t="s">
        <v>30</v>
      </c>
      <c r="D232" s="4" t="s">
        <v>14</v>
      </c>
      <c r="E232" s="4" t="s">
        <v>15</v>
      </c>
      <c r="F232" s="4" t="s">
        <v>16</v>
      </c>
      <c r="G232" s="4" t="s">
        <v>27</v>
      </c>
      <c r="H232" s="4" t="n">
        <v>3</v>
      </c>
      <c r="I232" s="6" t="n">
        <v>240.92</v>
      </c>
      <c r="J232" s="6" t="n">
        <f aca="false">H232*I232</f>
        <v>722.76</v>
      </c>
      <c r="K232" s="4" t="str">
        <f aca="false">CHOOSE(MONTH(B232),"Janeiro","Fevereiro","Março","Abril","Maio","Junho","Julho","Agosto","Setembro","Outubro","Novembro","Dezembro")</f>
        <v>Outubro</v>
      </c>
    </row>
    <row r="233" customFormat="false" ht="15" hidden="false" customHeight="false" outlineLevel="0" collapsed="false">
      <c r="A233" s="4" t="n">
        <v>1214</v>
      </c>
      <c r="B233" s="5" t="n">
        <v>45961</v>
      </c>
      <c r="C233" s="4" t="s">
        <v>34</v>
      </c>
      <c r="D233" s="4" t="s">
        <v>35</v>
      </c>
      <c r="E233" s="4" t="s">
        <v>15</v>
      </c>
      <c r="F233" s="4" t="s">
        <v>20</v>
      </c>
      <c r="G233" s="4" t="s">
        <v>29</v>
      </c>
      <c r="H233" s="4" t="n">
        <v>1</v>
      </c>
      <c r="I233" s="6" t="n">
        <v>46.69</v>
      </c>
      <c r="J233" s="6" t="n">
        <f aca="false">H233*I233</f>
        <v>46.69</v>
      </c>
      <c r="K233" s="4" t="str">
        <f aca="false">CHOOSE(MONTH(B233),"Janeiro","Fevereiro","Março","Abril","Maio","Junho","Julho","Agosto","Setembro","Outubro","Novembro","Dezembro")</f>
        <v>Outubro</v>
      </c>
    </row>
    <row r="234" customFormat="false" ht="15" hidden="false" customHeight="false" outlineLevel="0" collapsed="false">
      <c r="A234" s="4" t="n">
        <v>1230</v>
      </c>
      <c r="B234" s="5" t="n">
        <v>45962</v>
      </c>
      <c r="C234" s="4" t="s">
        <v>34</v>
      </c>
      <c r="D234" s="4" t="s">
        <v>35</v>
      </c>
      <c r="E234" s="4" t="s">
        <v>15</v>
      </c>
      <c r="F234" s="4" t="s">
        <v>20</v>
      </c>
      <c r="G234" s="4" t="s">
        <v>17</v>
      </c>
      <c r="H234" s="4" t="n">
        <v>1</v>
      </c>
      <c r="I234" s="6" t="n">
        <v>51.12</v>
      </c>
      <c r="J234" s="6" t="n">
        <f aca="false">H234*I234</f>
        <v>51.12</v>
      </c>
      <c r="K234" s="4" t="str">
        <f aca="false">CHOOSE(MONTH(B234),"Janeiro","Fevereiro","Março","Abril","Maio","Junho","Julho","Agosto","Setembro","Outubro","Novembro","Dezembro")</f>
        <v>Novembro</v>
      </c>
    </row>
    <row r="235" customFormat="false" ht="15" hidden="false" customHeight="false" outlineLevel="0" collapsed="false">
      <c r="A235" s="4" t="n">
        <v>1265</v>
      </c>
      <c r="B235" s="5" t="n">
        <v>45962</v>
      </c>
      <c r="C235" s="4" t="s">
        <v>32</v>
      </c>
      <c r="D235" s="4" t="s">
        <v>14</v>
      </c>
      <c r="E235" s="4" t="s">
        <v>15</v>
      </c>
      <c r="F235" s="4" t="s">
        <v>16</v>
      </c>
      <c r="G235" s="4" t="s">
        <v>37</v>
      </c>
      <c r="H235" s="4" t="n">
        <v>3</v>
      </c>
      <c r="I235" s="6" t="n">
        <v>362.87</v>
      </c>
      <c r="J235" s="6" t="n">
        <f aca="false">H235*I235</f>
        <v>1088.61</v>
      </c>
      <c r="K235" s="4" t="str">
        <f aca="false">CHOOSE(MONTH(B235),"Janeiro","Fevereiro","Março","Abril","Maio","Junho","Julho","Agosto","Setembro","Outubro","Novembro","Dezembro")</f>
        <v>Novembro</v>
      </c>
    </row>
    <row r="236" customFormat="false" ht="15" hidden="false" customHeight="false" outlineLevel="0" collapsed="false">
      <c r="A236" s="4" t="n">
        <v>1267</v>
      </c>
      <c r="B236" s="5" t="n">
        <v>45962</v>
      </c>
      <c r="C236" s="4" t="s">
        <v>34</v>
      </c>
      <c r="D236" s="4" t="s">
        <v>35</v>
      </c>
      <c r="E236" s="4" t="s">
        <v>15</v>
      </c>
      <c r="F236" s="4" t="s">
        <v>20</v>
      </c>
      <c r="G236" s="4" t="s">
        <v>21</v>
      </c>
      <c r="H236" s="4" t="n">
        <v>2</v>
      </c>
      <c r="I236" s="6" t="n">
        <v>47.11</v>
      </c>
      <c r="J236" s="6" t="n">
        <f aca="false">H236*I236</f>
        <v>94.22</v>
      </c>
      <c r="K236" s="4" t="str">
        <f aca="false">CHOOSE(MONTH(B236),"Janeiro","Fevereiro","Março","Abril","Maio","Junho","Julho","Agosto","Setembro","Outubro","Novembro","Dezembro")</f>
        <v>Novembro</v>
      </c>
    </row>
    <row r="237" customFormat="false" ht="15" hidden="false" customHeight="false" outlineLevel="0" collapsed="false">
      <c r="A237" s="4" t="n">
        <v>1257</v>
      </c>
      <c r="B237" s="5" t="n">
        <v>45963</v>
      </c>
      <c r="C237" s="4" t="s">
        <v>26</v>
      </c>
      <c r="D237" s="4" t="s">
        <v>14</v>
      </c>
      <c r="E237" s="4" t="s">
        <v>15</v>
      </c>
      <c r="F237" s="4" t="s">
        <v>28</v>
      </c>
      <c r="G237" s="4" t="s">
        <v>37</v>
      </c>
      <c r="H237" s="4" t="n">
        <v>1</v>
      </c>
      <c r="I237" s="6" t="n">
        <v>138.66</v>
      </c>
      <c r="J237" s="6" t="n">
        <f aca="false">H237*I237</f>
        <v>138.66</v>
      </c>
      <c r="K237" s="4" t="str">
        <f aca="false">CHOOSE(MONTH(B237),"Janeiro","Fevereiro","Março","Abril","Maio","Junho","Julho","Agosto","Setembro","Outubro","Novembro","Dezembro")</f>
        <v>Novembro</v>
      </c>
    </row>
    <row r="238" customFormat="false" ht="15" hidden="false" customHeight="false" outlineLevel="0" collapsed="false">
      <c r="A238" s="4" t="n">
        <v>1261</v>
      </c>
      <c r="B238" s="5" t="n">
        <v>45963</v>
      </c>
      <c r="C238" s="4" t="s">
        <v>22</v>
      </c>
      <c r="D238" s="4" t="s">
        <v>19</v>
      </c>
      <c r="E238" s="4" t="s">
        <v>15</v>
      </c>
      <c r="F238" s="4" t="s">
        <v>28</v>
      </c>
      <c r="G238" s="4" t="s">
        <v>27</v>
      </c>
      <c r="H238" s="4" t="n">
        <v>1</v>
      </c>
      <c r="I238" s="6" t="n">
        <v>4258.64</v>
      </c>
      <c r="J238" s="6" t="n">
        <f aca="false">H238*I238</f>
        <v>4258.64</v>
      </c>
      <c r="K238" s="4" t="str">
        <f aca="false">CHOOSE(MONTH(B238),"Janeiro","Fevereiro","Março","Abril","Maio","Junho","Julho","Agosto","Setembro","Outubro","Novembro","Dezembro")</f>
        <v>Novembro</v>
      </c>
    </row>
    <row r="239" customFormat="false" ht="15" hidden="false" customHeight="false" outlineLevel="0" collapsed="false">
      <c r="A239" s="4" t="n">
        <v>1236</v>
      </c>
      <c r="B239" s="5" t="n">
        <v>45964</v>
      </c>
      <c r="C239" s="4" t="s">
        <v>18</v>
      </c>
      <c r="D239" s="4" t="s">
        <v>19</v>
      </c>
      <c r="E239" s="4" t="s">
        <v>15</v>
      </c>
      <c r="F239" s="4" t="s">
        <v>16</v>
      </c>
      <c r="G239" s="4" t="s">
        <v>27</v>
      </c>
      <c r="H239" s="4" t="n">
        <v>1</v>
      </c>
      <c r="I239" s="6" t="n">
        <v>2596.1</v>
      </c>
      <c r="J239" s="6" t="n">
        <f aca="false">H239*I239</f>
        <v>2596.1</v>
      </c>
      <c r="K239" s="4" t="str">
        <f aca="false">CHOOSE(MONTH(B239),"Janeiro","Fevereiro","Março","Abril","Maio","Junho","Julho","Agosto","Setembro","Outubro","Novembro","Dezembro")</f>
        <v>Novembro</v>
      </c>
    </row>
    <row r="240" customFormat="false" ht="15" hidden="false" customHeight="false" outlineLevel="0" collapsed="false">
      <c r="A240" s="4" t="n">
        <v>1243</v>
      </c>
      <c r="B240" s="5" t="n">
        <v>45964</v>
      </c>
      <c r="C240" s="4" t="s">
        <v>18</v>
      </c>
      <c r="D240" s="4" t="s">
        <v>19</v>
      </c>
      <c r="E240" s="4" t="s">
        <v>15</v>
      </c>
      <c r="F240" s="4" t="s">
        <v>28</v>
      </c>
      <c r="G240" s="4" t="s">
        <v>27</v>
      </c>
      <c r="H240" s="4" t="n">
        <v>1</v>
      </c>
      <c r="I240" s="6" t="n">
        <v>2515.79</v>
      </c>
      <c r="J240" s="6" t="n">
        <f aca="false">H240*I240</f>
        <v>2515.79</v>
      </c>
      <c r="K240" s="4" t="str">
        <f aca="false">CHOOSE(MONTH(B240),"Janeiro","Fevereiro","Março","Abril","Maio","Junho","Julho","Agosto","Setembro","Outubro","Novembro","Dezembro")</f>
        <v>Novembro</v>
      </c>
    </row>
    <row r="241" customFormat="false" ht="15" hidden="false" customHeight="false" outlineLevel="0" collapsed="false">
      <c r="A241" s="4" t="n">
        <v>1254</v>
      </c>
      <c r="B241" s="5" t="n">
        <v>45964</v>
      </c>
      <c r="C241" s="4" t="s">
        <v>13</v>
      </c>
      <c r="D241" s="4" t="s">
        <v>14</v>
      </c>
      <c r="E241" s="4" t="s">
        <v>15</v>
      </c>
      <c r="F241" s="4" t="s">
        <v>20</v>
      </c>
      <c r="G241" s="4" t="s">
        <v>27</v>
      </c>
      <c r="H241" s="4" t="n">
        <v>1</v>
      </c>
      <c r="I241" s="6" t="n">
        <v>246.25</v>
      </c>
      <c r="J241" s="6" t="n">
        <f aca="false">H241*I241</f>
        <v>246.25</v>
      </c>
      <c r="K241" s="4" t="str">
        <f aca="false">CHOOSE(MONTH(B241),"Janeiro","Fevereiro","Março","Abril","Maio","Junho","Julho","Agosto","Setembro","Outubro","Novembro","Dezembro")</f>
        <v>Novembro</v>
      </c>
    </row>
    <row r="242" customFormat="false" ht="15" hidden="false" customHeight="false" outlineLevel="0" collapsed="false">
      <c r="A242" s="4" t="n">
        <v>1239</v>
      </c>
      <c r="B242" s="5" t="n">
        <v>45965</v>
      </c>
      <c r="C242" s="4" t="s">
        <v>26</v>
      </c>
      <c r="D242" s="4" t="s">
        <v>14</v>
      </c>
      <c r="E242" s="4" t="s">
        <v>15</v>
      </c>
      <c r="F242" s="4" t="s">
        <v>20</v>
      </c>
      <c r="G242" s="4" t="s">
        <v>23</v>
      </c>
      <c r="H242" s="4" t="n">
        <v>3</v>
      </c>
      <c r="I242" s="6" t="n">
        <v>149.69</v>
      </c>
      <c r="J242" s="6" t="n">
        <f aca="false">H242*I242</f>
        <v>449.07</v>
      </c>
      <c r="K242" s="4" t="str">
        <f aca="false">CHOOSE(MONTH(B242),"Janeiro","Fevereiro","Março","Abril","Maio","Junho","Julho","Agosto","Setembro","Outubro","Novembro","Dezembro")</f>
        <v>Novembro</v>
      </c>
    </row>
    <row r="243" customFormat="false" ht="15" hidden="false" customHeight="false" outlineLevel="0" collapsed="false">
      <c r="A243" s="4" t="n">
        <v>1247</v>
      </c>
      <c r="B243" s="5" t="n">
        <v>45965</v>
      </c>
      <c r="C243" s="4" t="s">
        <v>36</v>
      </c>
      <c r="D243" s="4" t="s">
        <v>14</v>
      </c>
      <c r="E243" s="4" t="s">
        <v>15</v>
      </c>
      <c r="F243" s="4" t="s">
        <v>28</v>
      </c>
      <c r="G243" s="4" t="s">
        <v>23</v>
      </c>
      <c r="H243" s="4" t="n">
        <v>1</v>
      </c>
      <c r="I243" s="6" t="n">
        <v>196.21</v>
      </c>
      <c r="J243" s="6" t="n">
        <f aca="false">H243*I243</f>
        <v>196.21</v>
      </c>
      <c r="K243" s="4" t="str">
        <f aca="false">CHOOSE(MONTH(B243),"Janeiro","Fevereiro","Março","Abril","Maio","Junho","Julho","Agosto","Setembro","Outubro","Novembro","Dezembro")</f>
        <v>Novembro</v>
      </c>
    </row>
    <row r="244" customFormat="false" ht="15" hidden="false" customHeight="false" outlineLevel="0" collapsed="false">
      <c r="A244" s="4" t="n">
        <v>1263</v>
      </c>
      <c r="B244" s="5" t="n">
        <v>45966</v>
      </c>
      <c r="C244" s="4" t="s">
        <v>40</v>
      </c>
      <c r="D244" s="4" t="s">
        <v>14</v>
      </c>
      <c r="E244" s="4" t="s">
        <v>15</v>
      </c>
      <c r="F244" s="4" t="s">
        <v>20</v>
      </c>
      <c r="G244" s="4" t="s">
        <v>21</v>
      </c>
      <c r="H244" s="4" t="n">
        <v>1</v>
      </c>
      <c r="I244" s="6" t="n">
        <v>295.78</v>
      </c>
      <c r="J244" s="6" t="n">
        <f aca="false">H244*I244</f>
        <v>295.78</v>
      </c>
      <c r="K244" s="4" t="str">
        <f aca="false">CHOOSE(MONTH(B244),"Janeiro","Fevereiro","Março","Abril","Maio","Junho","Julho","Agosto","Setembro","Outubro","Novembro","Dezembro")</f>
        <v>Novembro</v>
      </c>
    </row>
    <row r="245" customFormat="false" ht="15" hidden="false" customHeight="false" outlineLevel="0" collapsed="false">
      <c r="A245" s="4" t="n">
        <v>1231</v>
      </c>
      <c r="B245" s="5" t="n">
        <v>45967</v>
      </c>
      <c r="C245" s="4" t="s">
        <v>39</v>
      </c>
      <c r="D245" s="4" t="s">
        <v>25</v>
      </c>
      <c r="E245" s="4" t="s">
        <v>15</v>
      </c>
      <c r="F245" s="4" t="s">
        <v>20</v>
      </c>
      <c r="G245" s="4" t="s">
        <v>17</v>
      </c>
      <c r="H245" s="4" t="n">
        <v>2</v>
      </c>
      <c r="I245" s="6" t="n">
        <v>240.04</v>
      </c>
      <c r="J245" s="6" t="n">
        <f aca="false">H245*I245</f>
        <v>480.08</v>
      </c>
      <c r="K245" s="4" t="str">
        <f aca="false">CHOOSE(MONTH(B245),"Janeiro","Fevereiro","Março","Abril","Maio","Junho","Julho","Agosto","Setembro","Outubro","Novembro","Dezembro")</f>
        <v>Novembro</v>
      </c>
    </row>
    <row r="246" customFormat="false" ht="15" hidden="false" customHeight="false" outlineLevel="0" collapsed="false">
      <c r="A246" s="4" t="n">
        <v>1255</v>
      </c>
      <c r="B246" s="5" t="n">
        <v>45967</v>
      </c>
      <c r="C246" s="4" t="s">
        <v>34</v>
      </c>
      <c r="D246" s="4" t="s">
        <v>35</v>
      </c>
      <c r="E246" s="4" t="s">
        <v>15</v>
      </c>
      <c r="F246" s="4" t="s">
        <v>28</v>
      </c>
      <c r="G246" s="4" t="s">
        <v>29</v>
      </c>
      <c r="H246" s="4" t="n">
        <v>1</v>
      </c>
      <c r="I246" s="6" t="n">
        <v>48.02</v>
      </c>
      <c r="J246" s="6" t="n">
        <f aca="false">H246*I246</f>
        <v>48.02</v>
      </c>
      <c r="K246" s="4" t="str">
        <f aca="false">CHOOSE(MONTH(B246),"Janeiro","Fevereiro","Março","Abril","Maio","Junho","Julho","Agosto","Setembro","Outubro","Novembro","Dezembro")</f>
        <v>Novembro</v>
      </c>
    </row>
    <row r="247" customFormat="false" ht="15" hidden="false" customHeight="false" outlineLevel="0" collapsed="false">
      <c r="A247" s="4" t="n">
        <v>1242</v>
      </c>
      <c r="B247" s="5" t="n">
        <v>45970</v>
      </c>
      <c r="C247" s="4" t="s">
        <v>34</v>
      </c>
      <c r="D247" s="4" t="s">
        <v>35</v>
      </c>
      <c r="E247" s="4" t="s">
        <v>15</v>
      </c>
      <c r="F247" s="4" t="s">
        <v>31</v>
      </c>
      <c r="G247" s="4" t="s">
        <v>17</v>
      </c>
      <c r="H247" s="4" t="n">
        <v>2</v>
      </c>
      <c r="I247" s="6" t="n">
        <v>52.19</v>
      </c>
      <c r="J247" s="6" t="n">
        <f aca="false">H247*I247</f>
        <v>104.38</v>
      </c>
      <c r="K247" s="4" t="str">
        <f aca="false">CHOOSE(MONTH(B247),"Janeiro","Fevereiro","Março","Abril","Maio","Junho","Julho","Agosto","Setembro","Outubro","Novembro","Dezembro")</f>
        <v>Novembro</v>
      </c>
    </row>
    <row r="248" customFormat="false" ht="15" hidden="false" customHeight="false" outlineLevel="0" collapsed="false">
      <c r="A248" s="4" t="n">
        <v>1262</v>
      </c>
      <c r="B248" s="5" t="n">
        <v>45971</v>
      </c>
      <c r="C248" s="4" t="s">
        <v>34</v>
      </c>
      <c r="D248" s="4" t="s">
        <v>35</v>
      </c>
      <c r="E248" s="4" t="s">
        <v>15</v>
      </c>
      <c r="F248" s="4" t="s">
        <v>28</v>
      </c>
      <c r="G248" s="4" t="s">
        <v>23</v>
      </c>
      <c r="H248" s="4" t="n">
        <v>1</v>
      </c>
      <c r="I248" s="6" t="n">
        <v>46.77</v>
      </c>
      <c r="J248" s="6" t="n">
        <f aca="false">H248*I248</f>
        <v>46.77</v>
      </c>
      <c r="K248" s="4" t="str">
        <f aca="false">CHOOSE(MONTH(B248),"Janeiro","Fevereiro","Março","Abril","Maio","Junho","Julho","Agosto","Setembro","Outubro","Novembro","Dezembro")</f>
        <v>Novembro</v>
      </c>
    </row>
    <row r="249" customFormat="false" ht="15" hidden="false" customHeight="false" outlineLevel="0" collapsed="false">
      <c r="A249" s="4" t="n">
        <v>1245</v>
      </c>
      <c r="B249" s="5" t="n">
        <v>45972</v>
      </c>
      <c r="C249" s="4" t="s">
        <v>26</v>
      </c>
      <c r="D249" s="4" t="s">
        <v>14</v>
      </c>
      <c r="E249" s="4" t="s">
        <v>15</v>
      </c>
      <c r="F249" s="4" t="s">
        <v>31</v>
      </c>
      <c r="G249" s="4" t="s">
        <v>37</v>
      </c>
      <c r="H249" s="4" t="n">
        <v>1</v>
      </c>
      <c r="I249" s="6" t="n">
        <v>139.45</v>
      </c>
      <c r="J249" s="6" t="n">
        <f aca="false">H249*I249</f>
        <v>139.45</v>
      </c>
      <c r="K249" s="4" t="str">
        <f aca="false">CHOOSE(MONTH(B249),"Janeiro","Fevereiro","Março","Abril","Maio","Junho","Julho","Agosto","Setembro","Outubro","Novembro","Dezembro")</f>
        <v>Novembro</v>
      </c>
    </row>
    <row r="250" customFormat="false" ht="15" hidden="false" customHeight="false" outlineLevel="0" collapsed="false">
      <c r="A250" s="4" t="n">
        <v>1259</v>
      </c>
      <c r="B250" s="5" t="n">
        <v>45973</v>
      </c>
      <c r="C250" s="4" t="s">
        <v>40</v>
      </c>
      <c r="D250" s="4" t="s">
        <v>14</v>
      </c>
      <c r="E250" s="4" t="s">
        <v>15</v>
      </c>
      <c r="F250" s="4" t="s">
        <v>28</v>
      </c>
      <c r="G250" s="4" t="s">
        <v>37</v>
      </c>
      <c r="H250" s="4" t="n">
        <v>2</v>
      </c>
      <c r="I250" s="6" t="n">
        <v>279.39</v>
      </c>
      <c r="J250" s="6" t="n">
        <f aca="false">H250*I250</f>
        <v>558.78</v>
      </c>
      <c r="K250" s="4" t="str">
        <f aca="false">CHOOSE(MONTH(B250),"Janeiro","Fevereiro","Março","Abril","Maio","Junho","Julho","Agosto","Setembro","Outubro","Novembro","Dezembro")</f>
        <v>Novembro</v>
      </c>
    </row>
    <row r="251" customFormat="false" ht="15" hidden="false" customHeight="false" outlineLevel="0" collapsed="false">
      <c r="A251" s="4" t="n">
        <v>1241</v>
      </c>
      <c r="B251" s="5" t="n">
        <v>45974</v>
      </c>
      <c r="C251" s="4" t="s">
        <v>40</v>
      </c>
      <c r="D251" s="4" t="s">
        <v>14</v>
      </c>
      <c r="E251" s="4" t="s">
        <v>15</v>
      </c>
      <c r="F251" s="4" t="s">
        <v>20</v>
      </c>
      <c r="G251" s="4" t="s">
        <v>21</v>
      </c>
      <c r="H251" s="4" t="n">
        <v>1</v>
      </c>
      <c r="I251" s="6" t="n">
        <v>303.44</v>
      </c>
      <c r="J251" s="6" t="n">
        <f aca="false">H251*I251</f>
        <v>303.44</v>
      </c>
      <c r="K251" s="4" t="str">
        <f aca="false">CHOOSE(MONTH(B251),"Janeiro","Fevereiro","Março","Abril","Maio","Junho","Julho","Agosto","Setembro","Outubro","Novembro","Dezembro")</f>
        <v>Novembro</v>
      </c>
    </row>
    <row r="252" customFormat="false" ht="15" hidden="false" customHeight="false" outlineLevel="0" collapsed="false">
      <c r="A252" s="4" t="n">
        <v>1240</v>
      </c>
      <c r="B252" s="5" t="n">
        <v>45975</v>
      </c>
      <c r="C252" s="4" t="s">
        <v>32</v>
      </c>
      <c r="D252" s="4" t="s">
        <v>14</v>
      </c>
      <c r="E252" s="4" t="s">
        <v>15</v>
      </c>
      <c r="F252" s="4" t="s">
        <v>16</v>
      </c>
      <c r="G252" s="4" t="s">
        <v>37</v>
      </c>
      <c r="H252" s="4" t="n">
        <v>1</v>
      </c>
      <c r="I252" s="6" t="n">
        <v>361.37</v>
      </c>
      <c r="J252" s="6" t="n">
        <f aca="false">H252*I252</f>
        <v>361.37</v>
      </c>
      <c r="K252" s="4" t="str">
        <f aca="false">CHOOSE(MONTH(B252),"Janeiro","Fevereiro","Março","Abril","Maio","Junho","Julho","Agosto","Setembro","Outubro","Novembro","Dezembro")</f>
        <v>Novembro</v>
      </c>
    </row>
    <row r="253" customFormat="false" ht="15" hidden="false" customHeight="false" outlineLevel="0" collapsed="false">
      <c r="A253" s="4" t="n">
        <v>1233</v>
      </c>
      <c r="B253" s="5" t="n">
        <v>45976</v>
      </c>
      <c r="C253" s="4" t="s">
        <v>30</v>
      </c>
      <c r="D253" s="4" t="s">
        <v>14</v>
      </c>
      <c r="E253" s="4" t="s">
        <v>15</v>
      </c>
      <c r="F253" s="4" t="s">
        <v>16</v>
      </c>
      <c r="G253" s="4" t="s">
        <v>21</v>
      </c>
      <c r="H253" s="4" t="n">
        <v>2</v>
      </c>
      <c r="I253" s="6" t="n">
        <v>236.25</v>
      </c>
      <c r="J253" s="6" t="n">
        <f aca="false">H253*I253</f>
        <v>472.5</v>
      </c>
      <c r="K253" s="4" t="str">
        <f aca="false">CHOOSE(MONTH(B253),"Janeiro","Fevereiro","Março","Abril","Maio","Junho","Julho","Agosto","Setembro","Outubro","Novembro","Dezembro")</f>
        <v>Novembro</v>
      </c>
    </row>
    <row r="254" customFormat="false" ht="15" hidden="false" customHeight="false" outlineLevel="0" collapsed="false">
      <c r="A254" s="4" t="n">
        <v>1234</v>
      </c>
      <c r="B254" s="5" t="n">
        <v>45978</v>
      </c>
      <c r="C254" s="4" t="s">
        <v>39</v>
      </c>
      <c r="D254" s="4" t="s">
        <v>25</v>
      </c>
      <c r="E254" s="4" t="s">
        <v>15</v>
      </c>
      <c r="F254" s="4" t="s">
        <v>16</v>
      </c>
      <c r="G254" s="4" t="s">
        <v>37</v>
      </c>
      <c r="H254" s="4" t="n">
        <v>1</v>
      </c>
      <c r="I254" s="6" t="n">
        <v>253.7</v>
      </c>
      <c r="J254" s="6" t="n">
        <f aca="false">H254*I254</f>
        <v>253.7</v>
      </c>
      <c r="K254" s="4" t="str">
        <f aca="false">CHOOSE(MONTH(B254),"Janeiro","Fevereiro","Março","Abril","Maio","Junho","Julho","Agosto","Setembro","Outubro","Novembro","Dezembro")</f>
        <v>Novembro</v>
      </c>
    </row>
    <row r="255" customFormat="false" ht="15" hidden="false" customHeight="false" outlineLevel="0" collapsed="false">
      <c r="A255" s="4" t="n">
        <v>1238</v>
      </c>
      <c r="B255" s="5" t="n">
        <v>45978</v>
      </c>
      <c r="C255" s="4" t="s">
        <v>39</v>
      </c>
      <c r="D255" s="4" t="s">
        <v>25</v>
      </c>
      <c r="E255" s="4" t="s">
        <v>15</v>
      </c>
      <c r="F255" s="4" t="s">
        <v>20</v>
      </c>
      <c r="G255" s="4" t="s">
        <v>21</v>
      </c>
      <c r="H255" s="4" t="n">
        <v>2</v>
      </c>
      <c r="I255" s="6" t="n">
        <v>253.56</v>
      </c>
      <c r="J255" s="6" t="n">
        <f aca="false">H255*I255</f>
        <v>507.12</v>
      </c>
      <c r="K255" s="4" t="str">
        <f aca="false">CHOOSE(MONTH(B255),"Janeiro","Fevereiro","Março","Abril","Maio","Junho","Julho","Agosto","Setembro","Outubro","Novembro","Dezembro")</f>
        <v>Novembro</v>
      </c>
    </row>
    <row r="256" customFormat="false" ht="15" hidden="false" customHeight="false" outlineLevel="0" collapsed="false">
      <c r="A256" s="4" t="n">
        <v>1260</v>
      </c>
      <c r="B256" s="5" t="n">
        <v>45978</v>
      </c>
      <c r="C256" s="4" t="s">
        <v>26</v>
      </c>
      <c r="D256" s="4" t="s">
        <v>14</v>
      </c>
      <c r="E256" s="4" t="s">
        <v>15</v>
      </c>
      <c r="F256" s="4" t="s">
        <v>16</v>
      </c>
      <c r="G256" s="4" t="s">
        <v>29</v>
      </c>
      <c r="H256" s="4" t="n">
        <v>1</v>
      </c>
      <c r="I256" s="6" t="n">
        <v>143.05</v>
      </c>
      <c r="J256" s="6" t="n">
        <f aca="false">H256*I256</f>
        <v>143.05</v>
      </c>
      <c r="K256" s="4" t="str">
        <f aca="false">CHOOSE(MONTH(B256),"Janeiro","Fevereiro","Março","Abril","Maio","Junho","Julho","Agosto","Setembro","Outubro","Novembro","Dezembro")</f>
        <v>Novembro</v>
      </c>
    </row>
    <row r="257" customFormat="false" ht="15" hidden="false" customHeight="false" outlineLevel="0" collapsed="false">
      <c r="A257" s="4" t="n">
        <v>1249</v>
      </c>
      <c r="B257" s="5" t="n">
        <v>45980</v>
      </c>
      <c r="C257" s="4" t="s">
        <v>33</v>
      </c>
      <c r="D257" s="4" t="s">
        <v>25</v>
      </c>
      <c r="E257" s="4" t="s">
        <v>15</v>
      </c>
      <c r="F257" s="4" t="s">
        <v>20</v>
      </c>
      <c r="G257" s="4" t="s">
        <v>29</v>
      </c>
      <c r="H257" s="4" t="n">
        <v>3</v>
      </c>
      <c r="I257" s="6" t="n">
        <v>306.46</v>
      </c>
      <c r="J257" s="6" t="n">
        <f aca="false">H257*I257</f>
        <v>919.38</v>
      </c>
      <c r="K257" s="4" t="str">
        <f aca="false">CHOOSE(MONTH(B257),"Janeiro","Fevereiro","Março","Abril","Maio","Junho","Julho","Agosto","Setembro","Outubro","Novembro","Dezembro")</f>
        <v>Novembro</v>
      </c>
    </row>
    <row r="258" customFormat="false" ht="15" hidden="false" customHeight="false" outlineLevel="0" collapsed="false">
      <c r="A258" s="4" t="n">
        <v>1266</v>
      </c>
      <c r="B258" s="5" t="n">
        <v>45980</v>
      </c>
      <c r="C258" s="4" t="s">
        <v>40</v>
      </c>
      <c r="D258" s="4" t="s">
        <v>14</v>
      </c>
      <c r="E258" s="4" t="s">
        <v>15</v>
      </c>
      <c r="F258" s="4" t="s">
        <v>16</v>
      </c>
      <c r="G258" s="4" t="s">
        <v>37</v>
      </c>
      <c r="H258" s="4" t="n">
        <v>1</v>
      </c>
      <c r="I258" s="6" t="n">
        <v>302.66</v>
      </c>
      <c r="J258" s="6" t="n">
        <f aca="false">H258*I258</f>
        <v>302.66</v>
      </c>
      <c r="K258" s="4" t="str">
        <f aca="false">CHOOSE(MONTH(B258),"Janeiro","Fevereiro","Março","Abril","Maio","Junho","Julho","Agosto","Setembro","Outubro","Novembro","Dezembro")</f>
        <v>Novembro</v>
      </c>
    </row>
    <row r="259" customFormat="false" ht="15" hidden="false" customHeight="false" outlineLevel="0" collapsed="false">
      <c r="A259" s="4" t="n">
        <v>1237</v>
      </c>
      <c r="B259" s="5" t="n">
        <v>45981</v>
      </c>
      <c r="C259" s="4" t="s">
        <v>26</v>
      </c>
      <c r="D259" s="4" t="s">
        <v>14</v>
      </c>
      <c r="E259" s="4" t="s">
        <v>15</v>
      </c>
      <c r="F259" s="4" t="s">
        <v>16</v>
      </c>
      <c r="G259" s="4" t="s">
        <v>29</v>
      </c>
      <c r="H259" s="4" t="n">
        <v>2</v>
      </c>
      <c r="I259" s="6" t="n">
        <v>148.42</v>
      </c>
      <c r="J259" s="6" t="n">
        <f aca="false">H259*I259</f>
        <v>296.84</v>
      </c>
      <c r="K259" s="4" t="str">
        <f aca="false">CHOOSE(MONTH(B259),"Janeiro","Fevereiro","Março","Abril","Maio","Junho","Julho","Agosto","Setembro","Outubro","Novembro","Dezembro")</f>
        <v>Novembro</v>
      </c>
    </row>
    <row r="260" customFormat="false" ht="15" hidden="false" customHeight="false" outlineLevel="0" collapsed="false">
      <c r="A260" s="4" t="n">
        <v>1250</v>
      </c>
      <c r="B260" s="5" t="n">
        <v>45981</v>
      </c>
      <c r="C260" s="4" t="s">
        <v>26</v>
      </c>
      <c r="D260" s="4" t="s">
        <v>14</v>
      </c>
      <c r="E260" s="4" t="s">
        <v>15</v>
      </c>
      <c r="F260" s="4" t="s">
        <v>20</v>
      </c>
      <c r="G260" s="4" t="s">
        <v>21</v>
      </c>
      <c r="H260" s="4" t="n">
        <v>1</v>
      </c>
      <c r="I260" s="6" t="n">
        <v>149.53</v>
      </c>
      <c r="J260" s="6" t="n">
        <f aca="false">H260*I260</f>
        <v>149.53</v>
      </c>
      <c r="K260" s="4" t="str">
        <f aca="false">CHOOSE(MONTH(B260),"Janeiro","Fevereiro","Março","Abril","Maio","Junho","Julho","Agosto","Setembro","Outubro","Novembro","Dezembro")</f>
        <v>Novembro</v>
      </c>
    </row>
    <row r="261" customFormat="false" ht="15" hidden="false" customHeight="false" outlineLevel="0" collapsed="false">
      <c r="A261" s="4" t="n">
        <v>1256</v>
      </c>
      <c r="B261" s="5" t="n">
        <v>45981</v>
      </c>
      <c r="C261" s="4" t="s">
        <v>18</v>
      </c>
      <c r="D261" s="4" t="s">
        <v>19</v>
      </c>
      <c r="E261" s="4" t="s">
        <v>15</v>
      </c>
      <c r="F261" s="4" t="s">
        <v>16</v>
      </c>
      <c r="G261" s="4" t="s">
        <v>29</v>
      </c>
      <c r="H261" s="4" t="n">
        <v>1</v>
      </c>
      <c r="I261" s="6" t="n">
        <v>2793.02</v>
      </c>
      <c r="J261" s="6" t="n">
        <f aca="false">H261*I261</f>
        <v>2793.02</v>
      </c>
      <c r="K261" s="4" t="str">
        <f aca="false">CHOOSE(MONTH(B261),"Janeiro","Fevereiro","Março","Abril","Maio","Junho","Julho","Agosto","Setembro","Outubro","Novembro","Dezembro")</f>
        <v>Novembro</v>
      </c>
    </row>
    <row r="262" customFormat="false" ht="15" hidden="false" customHeight="false" outlineLevel="0" collapsed="false">
      <c r="A262" s="4" t="n">
        <v>1258</v>
      </c>
      <c r="B262" s="5" t="n">
        <v>45981</v>
      </c>
      <c r="C262" s="4" t="s">
        <v>32</v>
      </c>
      <c r="D262" s="4" t="s">
        <v>14</v>
      </c>
      <c r="E262" s="4" t="s">
        <v>15</v>
      </c>
      <c r="F262" s="4" t="s">
        <v>28</v>
      </c>
      <c r="G262" s="4" t="s">
        <v>17</v>
      </c>
      <c r="H262" s="4" t="n">
        <v>1</v>
      </c>
      <c r="I262" s="6" t="n">
        <v>339.87</v>
      </c>
      <c r="J262" s="6" t="n">
        <f aca="false">H262*I262</f>
        <v>339.87</v>
      </c>
      <c r="K262" s="4" t="str">
        <f aca="false">CHOOSE(MONTH(B262),"Janeiro","Fevereiro","Março","Abril","Maio","Junho","Julho","Agosto","Setembro","Outubro","Novembro","Dezembro")</f>
        <v>Novembro</v>
      </c>
    </row>
    <row r="263" customFormat="false" ht="15" hidden="false" customHeight="false" outlineLevel="0" collapsed="false">
      <c r="A263" s="4" t="n">
        <v>1253</v>
      </c>
      <c r="B263" s="5" t="n">
        <v>45983</v>
      </c>
      <c r="C263" s="4" t="s">
        <v>40</v>
      </c>
      <c r="D263" s="4" t="s">
        <v>14</v>
      </c>
      <c r="E263" s="4" t="s">
        <v>15</v>
      </c>
      <c r="F263" s="4" t="s">
        <v>28</v>
      </c>
      <c r="G263" s="4" t="s">
        <v>17</v>
      </c>
      <c r="H263" s="4" t="n">
        <v>2</v>
      </c>
      <c r="I263" s="6" t="n">
        <v>277.78</v>
      </c>
      <c r="J263" s="6" t="n">
        <f aca="false">H263*I263</f>
        <v>555.56</v>
      </c>
      <c r="K263" s="4" t="str">
        <f aca="false">CHOOSE(MONTH(B263),"Janeiro","Fevereiro","Março","Abril","Maio","Junho","Julho","Agosto","Setembro","Outubro","Novembro","Dezembro")</f>
        <v>Novembro</v>
      </c>
    </row>
    <row r="264" customFormat="false" ht="15" hidden="false" customHeight="false" outlineLevel="0" collapsed="false">
      <c r="A264" s="4" t="n">
        <v>1232</v>
      </c>
      <c r="B264" s="5" t="n">
        <v>45985</v>
      </c>
      <c r="C264" s="4" t="s">
        <v>18</v>
      </c>
      <c r="D264" s="4" t="s">
        <v>19</v>
      </c>
      <c r="E264" s="4" t="s">
        <v>15</v>
      </c>
      <c r="F264" s="4" t="s">
        <v>20</v>
      </c>
      <c r="G264" s="4" t="s">
        <v>17</v>
      </c>
      <c r="H264" s="4" t="n">
        <v>1</v>
      </c>
      <c r="I264" s="6" t="n">
        <v>2650.18</v>
      </c>
      <c r="J264" s="6" t="n">
        <f aca="false">H264*I264</f>
        <v>2650.18</v>
      </c>
      <c r="K264" s="4" t="str">
        <f aca="false">CHOOSE(MONTH(B264),"Janeiro","Fevereiro","Março","Abril","Maio","Junho","Julho","Agosto","Setembro","Outubro","Novembro","Dezembro")</f>
        <v>Novembro</v>
      </c>
    </row>
    <row r="265" customFormat="false" ht="15" hidden="false" customHeight="false" outlineLevel="0" collapsed="false">
      <c r="A265" s="4" t="n">
        <v>1244</v>
      </c>
      <c r="B265" s="5" t="n">
        <v>45987</v>
      </c>
      <c r="C265" s="4" t="s">
        <v>24</v>
      </c>
      <c r="D265" s="4" t="s">
        <v>25</v>
      </c>
      <c r="E265" s="4" t="s">
        <v>15</v>
      </c>
      <c r="F265" s="4" t="s">
        <v>38</v>
      </c>
      <c r="G265" s="4" t="s">
        <v>29</v>
      </c>
      <c r="H265" s="4" t="n">
        <v>2</v>
      </c>
      <c r="I265" s="6" t="n">
        <v>445.56</v>
      </c>
      <c r="J265" s="6" t="n">
        <f aca="false">H265*I265</f>
        <v>891.12</v>
      </c>
      <c r="K265" s="4" t="str">
        <f aca="false">CHOOSE(MONTH(B265),"Janeiro","Fevereiro","Março","Abril","Maio","Junho","Julho","Agosto","Setembro","Outubro","Novembro","Dezembro")</f>
        <v>Novembro</v>
      </c>
    </row>
    <row r="266" customFormat="false" ht="15" hidden="false" customHeight="false" outlineLevel="0" collapsed="false">
      <c r="A266" s="4" t="n">
        <v>1264</v>
      </c>
      <c r="B266" s="5" t="n">
        <v>45987</v>
      </c>
      <c r="C266" s="4" t="s">
        <v>34</v>
      </c>
      <c r="D266" s="4" t="s">
        <v>35</v>
      </c>
      <c r="E266" s="4" t="s">
        <v>15</v>
      </c>
      <c r="F266" s="4" t="s">
        <v>28</v>
      </c>
      <c r="G266" s="4" t="s">
        <v>37</v>
      </c>
      <c r="H266" s="4" t="n">
        <v>3</v>
      </c>
      <c r="I266" s="6" t="n">
        <v>46.46</v>
      </c>
      <c r="J266" s="6" t="n">
        <f aca="false">H266*I266</f>
        <v>139.38</v>
      </c>
      <c r="K266" s="4" t="str">
        <f aca="false">CHOOSE(MONTH(B266),"Janeiro","Fevereiro","Março","Abril","Maio","Junho","Julho","Agosto","Setembro","Outubro","Novembro","Dezembro")</f>
        <v>Novembro</v>
      </c>
    </row>
    <row r="267" customFormat="false" ht="15" hidden="false" customHeight="false" outlineLevel="0" collapsed="false">
      <c r="A267" s="4" t="n">
        <v>1251</v>
      </c>
      <c r="B267" s="5" t="n">
        <v>45988</v>
      </c>
      <c r="C267" s="4" t="s">
        <v>13</v>
      </c>
      <c r="D267" s="4" t="s">
        <v>14</v>
      </c>
      <c r="E267" s="4" t="s">
        <v>15</v>
      </c>
      <c r="F267" s="4" t="s">
        <v>16</v>
      </c>
      <c r="G267" s="4" t="s">
        <v>27</v>
      </c>
      <c r="H267" s="4" t="n">
        <v>1</v>
      </c>
      <c r="I267" s="6" t="n">
        <v>237.74</v>
      </c>
      <c r="J267" s="6" t="n">
        <f aca="false">H267*I267</f>
        <v>237.74</v>
      </c>
      <c r="K267" s="4" t="str">
        <f aca="false">CHOOSE(MONTH(B267),"Janeiro","Fevereiro","Março","Abril","Maio","Junho","Julho","Agosto","Setembro","Outubro","Novembro","Dezembro")</f>
        <v>Novembro</v>
      </c>
    </row>
    <row r="268" customFormat="false" ht="15" hidden="false" customHeight="false" outlineLevel="0" collapsed="false">
      <c r="A268" s="4" t="n">
        <v>1235</v>
      </c>
      <c r="B268" s="5" t="n">
        <v>45989</v>
      </c>
      <c r="C268" s="4" t="s">
        <v>40</v>
      </c>
      <c r="D268" s="4" t="s">
        <v>14</v>
      </c>
      <c r="E268" s="4" t="s">
        <v>15</v>
      </c>
      <c r="F268" s="4" t="s">
        <v>20</v>
      </c>
      <c r="G268" s="4" t="s">
        <v>37</v>
      </c>
      <c r="H268" s="4" t="n">
        <v>1</v>
      </c>
      <c r="I268" s="6" t="n">
        <v>291.65</v>
      </c>
      <c r="J268" s="6" t="n">
        <f aca="false">H268*I268</f>
        <v>291.65</v>
      </c>
      <c r="K268" s="4" t="str">
        <f aca="false">CHOOSE(MONTH(B268),"Janeiro","Fevereiro","Março","Abril","Maio","Junho","Julho","Agosto","Setembro","Outubro","Novembro","Dezembro")</f>
        <v>Novembro</v>
      </c>
    </row>
    <row r="269" customFormat="false" ht="15" hidden="false" customHeight="false" outlineLevel="0" collapsed="false">
      <c r="A269" s="4" t="n">
        <v>1246</v>
      </c>
      <c r="B269" s="5" t="n">
        <v>45989</v>
      </c>
      <c r="C269" s="4" t="s">
        <v>13</v>
      </c>
      <c r="D269" s="4" t="s">
        <v>14</v>
      </c>
      <c r="E269" s="4" t="s">
        <v>15</v>
      </c>
      <c r="F269" s="4" t="s">
        <v>20</v>
      </c>
      <c r="G269" s="4" t="s">
        <v>27</v>
      </c>
      <c r="H269" s="4" t="n">
        <v>1</v>
      </c>
      <c r="I269" s="6" t="n">
        <v>230.75</v>
      </c>
      <c r="J269" s="6" t="n">
        <f aca="false">H269*I269</f>
        <v>230.75</v>
      </c>
      <c r="K269" s="4" t="str">
        <f aca="false">CHOOSE(MONTH(B269),"Janeiro","Fevereiro","Março","Abril","Maio","Junho","Julho","Agosto","Setembro","Outubro","Novembro","Dezembro")</f>
        <v>Novembro</v>
      </c>
    </row>
    <row r="270" customFormat="false" ht="15" hidden="false" customHeight="false" outlineLevel="0" collapsed="false">
      <c r="A270" s="4" t="n">
        <v>1248</v>
      </c>
      <c r="B270" s="5" t="n">
        <v>45989</v>
      </c>
      <c r="C270" s="4" t="s">
        <v>18</v>
      </c>
      <c r="D270" s="4" t="s">
        <v>19</v>
      </c>
      <c r="E270" s="4" t="s">
        <v>15</v>
      </c>
      <c r="F270" s="4" t="s">
        <v>16</v>
      </c>
      <c r="G270" s="4" t="s">
        <v>27</v>
      </c>
      <c r="H270" s="4" t="n">
        <v>1</v>
      </c>
      <c r="I270" s="6" t="n">
        <v>2605.92</v>
      </c>
      <c r="J270" s="6" t="n">
        <f aca="false">H270*I270</f>
        <v>2605.92</v>
      </c>
      <c r="K270" s="4" t="str">
        <f aca="false">CHOOSE(MONTH(B270),"Janeiro","Fevereiro","Março","Abril","Maio","Junho","Julho","Agosto","Setembro","Outubro","Novembro","Dezembro")</f>
        <v>Novembro</v>
      </c>
    </row>
    <row r="271" customFormat="false" ht="15" hidden="false" customHeight="false" outlineLevel="0" collapsed="false">
      <c r="A271" s="4" t="n">
        <v>1252</v>
      </c>
      <c r="B271" s="5" t="n">
        <v>45991</v>
      </c>
      <c r="C271" s="4" t="s">
        <v>34</v>
      </c>
      <c r="D271" s="4" t="s">
        <v>35</v>
      </c>
      <c r="E271" s="4" t="s">
        <v>15</v>
      </c>
      <c r="F271" s="4" t="s">
        <v>31</v>
      </c>
      <c r="G271" s="4" t="s">
        <v>29</v>
      </c>
      <c r="H271" s="4" t="n">
        <v>1</v>
      </c>
      <c r="I271" s="6" t="n">
        <v>48.27</v>
      </c>
      <c r="J271" s="6" t="n">
        <f aca="false">H271*I271</f>
        <v>48.27</v>
      </c>
      <c r="K271" s="4" t="str">
        <f aca="false">CHOOSE(MONTH(B271),"Janeiro","Fevereiro","Março","Abril","Maio","Junho","Julho","Agosto","Setembro","Outubro","Novembro","Dezembro")</f>
        <v>Novembro</v>
      </c>
    </row>
    <row r="272" customFormat="false" ht="15" hidden="false" customHeight="false" outlineLevel="0" collapsed="false">
      <c r="A272" s="4" t="n">
        <v>1293</v>
      </c>
      <c r="B272" s="5" t="n">
        <v>45992</v>
      </c>
      <c r="C272" s="4" t="s">
        <v>34</v>
      </c>
      <c r="D272" s="4" t="s">
        <v>35</v>
      </c>
      <c r="E272" s="4" t="s">
        <v>15</v>
      </c>
      <c r="F272" s="4" t="s">
        <v>16</v>
      </c>
      <c r="G272" s="4" t="s">
        <v>37</v>
      </c>
      <c r="H272" s="4" t="n">
        <v>1</v>
      </c>
      <c r="I272" s="6" t="n">
        <v>48</v>
      </c>
      <c r="J272" s="6" t="n">
        <f aca="false">H272*I272</f>
        <v>48</v>
      </c>
      <c r="K272" s="4" t="str">
        <f aca="false">CHOOSE(MONTH(B272),"Janeiro","Fevereiro","Março","Abril","Maio","Junho","Julho","Agosto","Setembro","Outubro","Novembro","Dezembro")</f>
        <v>Dezembro</v>
      </c>
    </row>
    <row r="273" customFormat="false" ht="15" hidden="false" customHeight="false" outlineLevel="0" collapsed="false">
      <c r="A273" s="4" t="n">
        <v>1303</v>
      </c>
      <c r="B273" s="5" t="n">
        <v>45993</v>
      </c>
      <c r="C273" s="4" t="s">
        <v>26</v>
      </c>
      <c r="D273" s="4" t="s">
        <v>14</v>
      </c>
      <c r="E273" s="4" t="s">
        <v>15</v>
      </c>
      <c r="F273" s="4" t="s">
        <v>20</v>
      </c>
      <c r="G273" s="4" t="s">
        <v>17</v>
      </c>
      <c r="H273" s="4" t="n">
        <v>1</v>
      </c>
      <c r="I273" s="6" t="n">
        <v>146.39</v>
      </c>
      <c r="J273" s="6" t="n">
        <f aca="false">H273*I273</f>
        <v>146.39</v>
      </c>
      <c r="K273" s="4" t="str">
        <f aca="false">CHOOSE(MONTH(B273),"Janeiro","Fevereiro","Março","Abril","Maio","Junho","Julho","Agosto","Setembro","Outubro","Novembro","Dezembro")</f>
        <v>Dezembro</v>
      </c>
    </row>
    <row r="274" customFormat="false" ht="15" hidden="false" customHeight="false" outlineLevel="0" collapsed="false">
      <c r="A274" s="4" t="n">
        <v>1307</v>
      </c>
      <c r="B274" s="5" t="n">
        <v>45993</v>
      </c>
      <c r="C274" s="4" t="s">
        <v>40</v>
      </c>
      <c r="D274" s="4" t="s">
        <v>14</v>
      </c>
      <c r="E274" s="4" t="s">
        <v>15</v>
      </c>
      <c r="F274" s="4" t="s">
        <v>16</v>
      </c>
      <c r="G274" s="4" t="s">
        <v>17</v>
      </c>
      <c r="H274" s="4" t="n">
        <v>1</v>
      </c>
      <c r="I274" s="6" t="n">
        <v>294.59</v>
      </c>
      <c r="J274" s="6" t="n">
        <f aca="false">H274*I274</f>
        <v>294.59</v>
      </c>
      <c r="K274" s="4" t="str">
        <f aca="false">CHOOSE(MONTH(B274),"Janeiro","Fevereiro","Março","Abril","Maio","Junho","Julho","Agosto","Setembro","Outubro","Novembro","Dezembro")</f>
        <v>Dezembro</v>
      </c>
    </row>
    <row r="275" customFormat="false" ht="15" hidden="false" customHeight="false" outlineLevel="0" collapsed="false">
      <c r="A275" s="4" t="n">
        <v>1268</v>
      </c>
      <c r="B275" s="5" t="n">
        <v>45994</v>
      </c>
      <c r="C275" s="4" t="s">
        <v>40</v>
      </c>
      <c r="D275" s="4" t="s">
        <v>14</v>
      </c>
      <c r="E275" s="4" t="s">
        <v>15</v>
      </c>
      <c r="F275" s="4" t="s">
        <v>20</v>
      </c>
      <c r="G275" s="4" t="s">
        <v>37</v>
      </c>
      <c r="H275" s="4" t="n">
        <v>1</v>
      </c>
      <c r="I275" s="6" t="n">
        <v>307.91</v>
      </c>
      <c r="J275" s="6" t="n">
        <f aca="false">H275*I275</f>
        <v>307.91</v>
      </c>
      <c r="K275" s="4" t="str">
        <f aca="false">CHOOSE(MONTH(B275),"Janeiro","Fevereiro","Março","Abril","Maio","Junho","Julho","Agosto","Setembro","Outubro","Novembro","Dezembro")</f>
        <v>Dezembro</v>
      </c>
    </row>
    <row r="276" customFormat="false" ht="15" hidden="false" customHeight="false" outlineLevel="0" collapsed="false">
      <c r="A276" s="4" t="n">
        <v>1271</v>
      </c>
      <c r="B276" s="5" t="n">
        <v>45998</v>
      </c>
      <c r="C276" s="4" t="s">
        <v>34</v>
      </c>
      <c r="D276" s="4" t="s">
        <v>35</v>
      </c>
      <c r="E276" s="4" t="s">
        <v>15</v>
      </c>
      <c r="F276" s="4" t="s">
        <v>28</v>
      </c>
      <c r="G276" s="4" t="s">
        <v>23</v>
      </c>
      <c r="H276" s="4" t="n">
        <v>3</v>
      </c>
      <c r="I276" s="6" t="n">
        <v>48.27</v>
      </c>
      <c r="J276" s="6" t="n">
        <f aca="false">H276*I276</f>
        <v>144.81</v>
      </c>
      <c r="K276" s="4" t="str">
        <f aca="false">CHOOSE(MONTH(B276),"Janeiro","Fevereiro","Março","Abril","Maio","Junho","Julho","Agosto","Setembro","Outubro","Novembro","Dezembro")</f>
        <v>Dezembro</v>
      </c>
    </row>
    <row r="277" customFormat="false" ht="15" hidden="false" customHeight="false" outlineLevel="0" collapsed="false">
      <c r="A277" s="4" t="n">
        <v>1294</v>
      </c>
      <c r="B277" s="5" t="n">
        <v>45998</v>
      </c>
      <c r="C277" s="4" t="s">
        <v>33</v>
      </c>
      <c r="D277" s="4" t="s">
        <v>25</v>
      </c>
      <c r="E277" s="4" t="s">
        <v>15</v>
      </c>
      <c r="F277" s="4" t="s">
        <v>16</v>
      </c>
      <c r="G277" s="4" t="s">
        <v>17</v>
      </c>
      <c r="H277" s="4" t="n">
        <v>1</v>
      </c>
      <c r="I277" s="6" t="n">
        <v>313.95</v>
      </c>
      <c r="J277" s="6" t="n">
        <f aca="false">H277*I277</f>
        <v>313.95</v>
      </c>
      <c r="K277" s="4" t="str">
        <f aca="false">CHOOSE(MONTH(B277),"Janeiro","Fevereiro","Março","Abril","Maio","Junho","Julho","Agosto","Setembro","Outubro","Novembro","Dezembro")</f>
        <v>Dezembro</v>
      </c>
    </row>
    <row r="278" customFormat="false" ht="15" hidden="false" customHeight="false" outlineLevel="0" collapsed="false">
      <c r="A278" s="4" t="n">
        <v>1272</v>
      </c>
      <c r="B278" s="5" t="n">
        <v>45999</v>
      </c>
      <c r="C278" s="4" t="s">
        <v>18</v>
      </c>
      <c r="D278" s="4" t="s">
        <v>19</v>
      </c>
      <c r="E278" s="4" t="s">
        <v>15</v>
      </c>
      <c r="F278" s="4" t="s">
        <v>16</v>
      </c>
      <c r="G278" s="4" t="s">
        <v>23</v>
      </c>
      <c r="H278" s="4" t="n">
        <v>1</v>
      </c>
      <c r="I278" s="6" t="n">
        <v>2534.46</v>
      </c>
      <c r="J278" s="6" t="n">
        <f aca="false">H278*I278</f>
        <v>2534.46</v>
      </c>
      <c r="K278" s="4" t="str">
        <f aca="false">CHOOSE(MONTH(B278),"Janeiro","Fevereiro","Março","Abril","Maio","Junho","Julho","Agosto","Setembro","Outubro","Novembro","Dezembro")</f>
        <v>Dezembro</v>
      </c>
    </row>
    <row r="279" customFormat="false" ht="15" hidden="false" customHeight="false" outlineLevel="0" collapsed="false">
      <c r="A279" s="4" t="n">
        <v>1313</v>
      </c>
      <c r="B279" s="5" t="n">
        <v>45999</v>
      </c>
      <c r="C279" s="4" t="s">
        <v>39</v>
      </c>
      <c r="D279" s="4" t="s">
        <v>25</v>
      </c>
      <c r="E279" s="4" t="s">
        <v>15</v>
      </c>
      <c r="F279" s="4" t="s">
        <v>20</v>
      </c>
      <c r="G279" s="4" t="s">
        <v>29</v>
      </c>
      <c r="H279" s="4" t="n">
        <v>1</v>
      </c>
      <c r="I279" s="6" t="n">
        <v>242.38</v>
      </c>
      <c r="J279" s="6" t="n">
        <f aca="false">H279*I279</f>
        <v>242.38</v>
      </c>
      <c r="K279" s="4" t="str">
        <f aca="false">CHOOSE(MONTH(B279),"Janeiro","Fevereiro","Março","Abril","Maio","Junho","Julho","Agosto","Setembro","Outubro","Novembro","Dezembro")</f>
        <v>Dezembro</v>
      </c>
    </row>
    <row r="280" customFormat="false" ht="15" hidden="false" customHeight="false" outlineLevel="0" collapsed="false">
      <c r="A280" s="4" t="n">
        <v>1305</v>
      </c>
      <c r="B280" s="5" t="n">
        <v>46000</v>
      </c>
      <c r="C280" s="4" t="s">
        <v>32</v>
      </c>
      <c r="D280" s="4" t="s">
        <v>14</v>
      </c>
      <c r="E280" s="4" t="s">
        <v>15</v>
      </c>
      <c r="F280" s="4" t="s">
        <v>31</v>
      </c>
      <c r="G280" s="4" t="s">
        <v>17</v>
      </c>
      <c r="H280" s="4" t="n">
        <v>1</v>
      </c>
      <c r="I280" s="6" t="n">
        <v>362.15</v>
      </c>
      <c r="J280" s="6" t="n">
        <f aca="false">H280*I280</f>
        <v>362.15</v>
      </c>
      <c r="K280" s="4" t="str">
        <f aca="false">CHOOSE(MONTH(B280),"Janeiro","Fevereiro","Março","Abril","Maio","Junho","Julho","Agosto","Setembro","Outubro","Novembro","Dezembro")</f>
        <v>Dezembro</v>
      </c>
    </row>
    <row r="281" customFormat="false" ht="15" hidden="false" customHeight="false" outlineLevel="0" collapsed="false">
      <c r="A281" s="4" t="n">
        <v>1287</v>
      </c>
      <c r="B281" s="5" t="n">
        <v>46001</v>
      </c>
      <c r="C281" s="4" t="s">
        <v>39</v>
      </c>
      <c r="D281" s="4" t="s">
        <v>25</v>
      </c>
      <c r="E281" s="4" t="s">
        <v>15</v>
      </c>
      <c r="F281" s="4" t="s">
        <v>38</v>
      </c>
      <c r="G281" s="4" t="s">
        <v>29</v>
      </c>
      <c r="H281" s="4" t="n">
        <v>2</v>
      </c>
      <c r="I281" s="6" t="n">
        <v>262.65</v>
      </c>
      <c r="J281" s="6" t="n">
        <f aca="false">H281*I281</f>
        <v>525.3</v>
      </c>
      <c r="K281" s="4" t="str">
        <f aca="false">CHOOSE(MONTH(B281),"Janeiro","Fevereiro","Março","Abril","Maio","Junho","Julho","Agosto","Setembro","Outubro","Novembro","Dezembro")</f>
        <v>Dezembro</v>
      </c>
    </row>
    <row r="282" customFormat="false" ht="15" hidden="false" customHeight="false" outlineLevel="0" collapsed="false">
      <c r="A282" s="4" t="n">
        <v>1289</v>
      </c>
      <c r="B282" s="5" t="n">
        <v>46001</v>
      </c>
      <c r="C282" s="4" t="s">
        <v>26</v>
      </c>
      <c r="D282" s="4" t="s">
        <v>14</v>
      </c>
      <c r="E282" s="4" t="s">
        <v>15</v>
      </c>
      <c r="F282" s="4" t="s">
        <v>16</v>
      </c>
      <c r="G282" s="4" t="s">
        <v>21</v>
      </c>
      <c r="H282" s="4" t="n">
        <v>1</v>
      </c>
      <c r="I282" s="6" t="n">
        <v>150.61</v>
      </c>
      <c r="J282" s="6" t="n">
        <f aca="false">H282*I282</f>
        <v>150.61</v>
      </c>
      <c r="K282" s="4" t="str">
        <f aca="false">CHOOSE(MONTH(B282),"Janeiro","Fevereiro","Março","Abril","Maio","Junho","Julho","Agosto","Setembro","Outubro","Novembro","Dezembro")</f>
        <v>Dezembro</v>
      </c>
    </row>
    <row r="283" customFormat="false" ht="15" hidden="false" customHeight="false" outlineLevel="0" collapsed="false">
      <c r="A283" s="4" t="n">
        <v>1299</v>
      </c>
      <c r="B283" s="5" t="n">
        <v>46001</v>
      </c>
      <c r="C283" s="4" t="s">
        <v>13</v>
      </c>
      <c r="D283" s="4" t="s">
        <v>14</v>
      </c>
      <c r="E283" s="4" t="s">
        <v>15</v>
      </c>
      <c r="F283" s="4" t="s">
        <v>20</v>
      </c>
      <c r="G283" s="4" t="s">
        <v>27</v>
      </c>
      <c r="H283" s="4" t="n">
        <v>1</v>
      </c>
      <c r="I283" s="6" t="n">
        <v>254.45</v>
      </c>
      <c r="J283" s="6" t="n">
        <f aca="false">H283*I283</f>
        <v>254.45</v>
      </c>
      <c r="K283" s="4" t="str">
        <f aca="false">CHOOSE(MONTH(B283),"Janeiro","Fevereiro","Março","Abril","Maio","Junho","Julho","Agosto","Setembro","Outubro","Novembro","Dezembro")</f>
        <v>Dezembro</v>
      </c>
    </row>
    <row r="284" customFormat="false" ht="15" hidden="false" customHeight="false" outlineLevel="0" collapsed="false">
      <c r="A284" s="4" t="n">
        <v>1270</v>
      </c>
      <c r="B284" s="5" t="n">
        <v>46002</v>
      </c>
      <c r="C284" s="4" t="s">
        <v>24</v>
      </c>
      <c r="D284" s="4" t="s">
        <v>25</v>
      </c>
      <c r="E284" s="4" t="s">
        <v>15</v>
      </c>
      <c r="F284" s="4" t="s">
        <v>16</v>
      </c>
      <c r="G284" s="4" t="s">
        <v>29</v>
      </c>
      <c r="H284" s="4" t="n">
        <v>2</v>
      </c>
      <c r="I284" s="6" t="n">
        <v>417.54</v>
      </c>
      <c r="J284" s="6" t="n">
        <f aca="false">H284*I284</f>
        <v>835.08</v>
      </c>
      <c r="K284" s="4" t="str">
        <f aca="false">CHOOSE(MONTH(B284),"Janeiro","Fevereiro","Março","Abril","Maio","Junho","Julho","Agosto","Setembro","Outubro","Novembro","Dezembro")</f>
        <v>Dezembro</v>
      </c>
    </row>
    <row r="285" customFormat="false" ht="15" hidden="false" customHeight="false" outlineLevel="0" collapsed="false">
      <c r="A285" s="4" t="n">
        <v>1276</v>
      </c>
      <c r="B285" s="5" t="n">
        <v>46002</v>
      </c>
      <c r="C285" s="4" t="s">
        <v>24</v>
      </c>
      <c r="D285" s="4" t="s">
        <v>25</v>
      </c>
      <c r="E285" s="4" t="s">
        <v>15</v>
      </c>
      <c r="F285" s="4" t="s">
        <v>20</v>
      </c>
      <c r="G285" s="4" t="s">
        <v>27</v>
      </c>
      <c r="H285" s="4" t="n">
        <v>1</v>
      </c>
      <c r="I285" s="6" t="n">
        <v>438.75</v>
      </c>
      <c r="J285" s="6" t="n">
        <f aca="false">H285*I285</f>
        <v>438.75</v>
      </c>
      <c r="K285" s="4" t="str">
        <f aca="false">CHOOSE(MONTH(B285),"Janeiro","Fevereiro","Março","Abril","Maio","Junho","Julho","Agosto","Setembro","Outubro","Novembro","Dezembro")</f>
        <v>Dezembro</v>
      </c>
    </row>
    <row r="286" customFormat="false" ht="15" hidden="false" customHeight="false" outlineLevel="0" collapsed="false">
      <c r="A286" s="4" t="n">
        <v>1309</v>
      </c>
      <c r="B286" s="5" t="n">
        <v>46002</v>
      </c>
      <c r="C286" s="4" t="s">
        <v>24</v>
      </c>
      <c r="D286" s="4" t="s">
        <v>25</v>
      </c>
      <c r="E286" s="4" t="s">
        <v>15</v>
      </c>
      <c r="F286" s="4" t="s">
        <v>31</v>
      </c>
      <c r="G286" s="4" t="s">
        <v>37</v>
      </c>
      <c r="H286" s="4" t="n">
        <v>1</v>
      </c>
      <c r="I286" s="6" t="n">
        <v>421.11</v>
      </c>
      <c r="J286" s="6" t="n">
        <f aca="false">H286*I286</f>
        <v>421.11</v>
      </c>
      <c r="K286" s="4" t="str">
        <f aca="false">CHOOSE(MONTH(B286),"Janeiro","Fevereiro","Março","Abril","Maio","Junho","Julho","Agosto","Setembro","Outubro","Novembro","Dezembro")</f>
        <v>Dezembro</v>
      </c>
    </row>
    <row r="287" customFormat="false" ht="15" hidden="false" customHeight="false" outlineLevel="0" collapsed="false">
      <c r="A287" s="4" t="n">
        <v>1308</v>
      </c>
      <c r="B287" s="5" t="n">
        <v>46003</v>
      </c>
      <c r="C287" s="4" t="s">
        <v>33</v>
      </c>
      <c r="D287" s="4" t="s">
        <v>25</v>
      </c>
      <c r="E287" s="4" t="s">
        <v>15</v>
      </c>
      <c r="F287" s="4" t="s">
        <v>31</v>
      </c>
      <c r="G287" s="4" t="s">
        <v>21</v>
      </c>
      <c r="H287" s="4" t="n">
        <v>1</v>
      </c>
      <c r="I287" s="6" t="n">
        <v>276.18</v>
      </c>
      <c r="J287" s="6" t="n">
        <f aca="false">H287*I287</f>
        <v>276.18</v>
      </c>
      <c r="K287" s="4" t="str">
        <f aca="false">CHOOSE(MONTH(B287),"Janeiro","Fevereiro","Março","Abril","Maio","Junho","Julho","Agosto","Setembro","Outubro","Novembro","Dezembro")</f>
        <v>Dezembro</v>
      </c>
    </row>
    <row r="288" customFormat="false" ht="15" hidden="false" customHeight="false" outlineLevel="0" collapsed="false">
      <c r="A288" s="4" t="n">
        <v>1285</v>
      </c>
      <c r="B288" s="5" t="n">
        <v>46004</v>
      </c>
      <c r="C288" s="4" t="s">
        <v>40</v>
      </c>
      <c r="D288" s="4" t="s">
        <v>14</v>
      </c>
      <c r="E288" s="4" t="s">
        <v>15</v>
      </c>
      <c r="F288" s="4" t="s">
        <v>20</v>
      </c>
      <c r="G288" s="4" t="s">
        <v>21</v>
      </c>
      <c r="H288" s="4" t="n">
        <v>2</v>
      </c>
      <c r="I288" s="6" t="n">
        <v>305.18</v>
      </c>
      <c r="J288" s="6" t="n">
        <f aca="false">H288*I288</f>
        <v>610.36</v>
      </c>
      <c r="K288" s="4" t="str">
        <f aca="false">CHOOSE(MONTH(B288),"Janeiro","Fevereiro","Março","Abril","Maio","Junho","Julho","Agosto","Setembro","Outubro","Novembro","Dezembro")</f>
        <v>Dezembro</v>
      </c>
    </row>
    <row r="289" customFormat="false" ht="15" hidden="false" customHeight="false" outlineLevel="0" collapsed="false">
      <c r="A289" s="4" t="n">
        <v>1302</v>
      </c>
      <c r="B289" s="5" t="n">
        <v>46005</v>
      </c>
      <c r="C289" s="4" t="s">
        <v>24</v>
      </c>
      <c r="D289" s="4" t="s">
        <v>25</v>
      </c>
      <c r="E289" s="4" t="s">
        <v>15</v>
      </c>
      <c r="F289" s="4" t="s">
        <v>20</v>
      </c>
      <c r="G289" s="4" t="s">
        <v>27</v>
      </c>
      <c r="H289" s="4" t="n">
        <v>3</v>
      </c>
      <c r="I289" s="6" t="n">
        <v>460.76</v>
      </c>
      <c r="J289" s="6" t="n">
        <f aca="false">H289*I289</f>
        <v>1382.28</v>
      </c>
      <c r="K289" s="4" t="str">
        <f aca="false">CHOOSE(MONTH(B289),"Janeiro","Fevereiro","Março","Abril","Maio","Junho","Julho","Agosto","Setembro","Outubro","Novembro","Dezembro")</f>
        <v>Dezembro</v>
      </c>
    </row>
    <row r="290" customFormat="false" ht="15" hidden="false" customHeight="false" outlineLevel="0" collapsed="false">
      <c r="A290" s="4" t="n">
        <v>1278</v>
      </c>
      <c r="B290" s="5" t="n">
        <v>46006</v>
      </c>
      <c r="C290" s="4" t="s">
        <v>32</v>
      </c>
      <c r="D290" s="4" t="s">
        <v>14</v>
      </c>
      <c r="E290" s="4" t="s">
        <v>15</v>
      </c>
      <c r="F290" s="4" t="s">
        <v>31</v>
      </c>
      <c r="G290" s="4" t="s">
        <v>17</v>
      </c>
      <c r="H290" s="4" t="n">
        <v>1</v>
      </c>
      <c r="I290" s="6" t="n">
        <v>322.79</v>
      </c>
      <c r="J290" s="6" t="n">
        <f aca="false">H290*I290</f>
        <v>322.79</v>
      </c>
      <c r="K290" s="4" t="str">
        <f aca="false">CHOOSE(MONTH(B290),"Janeiro","Fevereiro","Março","Abril","Maio","Junho","Julho","Agosto","Setembro","Outubro","Novembro","Dezembro")</f>
        <v>Dezembro</v>
      </c>
    </row>
    <row r="291" customFormat="false" ht="15" hidden="false" customHeight="false" outlineLevel="0" collapsed="false">
      <c r="A291" s="4" t="n">
        <v>1282</v>
      </c>
      <c r="B291" s="5" t="n">
        <v>46006</v>
      </c>
      <c r="C291" s="4" t="s">
        <v>18</v>
      </c>
      <c r="D291" s="4" t="s">
        <v>19</v>
      </c>
      <c r="E291" s="4" t="s">
        <v>15</v>
      </c>
      <c r="F291" s="4" t="s">
        <v>38</v>
      </c>
      <c r="G291" s="4" t="s">
        <v>17</v>
      </c>
      <c r="H291" s="4" t="n">
        <v>1</v>
      </c>
      <c r="I291" s="6" t="n">
        <v>2767.62</v>
      </c>
      <c r="J291" s="6" t="n">
        <f aca="false">H291*I291</f>
        <v>2767.62</v>
      </c>
      <c r="K291" s="4" t="str">
        <f aca="false">CHOOSE(MONTH(B291),"Janeiro","Fevereiro","Março","Abril","Maio","Junho","Julho","Agosto","Setembro","Outubro","Novembro","Dezembro")</f>
        <v>Dezembro</v>
      </c>
    </row>
    <row r="292" customFormat="false" ht="15" hidden="false" customHeight="false" outlineLevel="0" collapsed="false">
      <c r="A292" s="4" t="n">
        <v>1298</v>
      </c>
      <c r="B292" s="5" t="n">
        <v>46006</v>
      </c>
      <c r="C292" s="4" t="s">
        <v>22</v>
      </c>
      <c r="D292" s="4" t="s">
        <v>19</v>
      </c>
      <c r="E292" s="4" t="s">
        <v>15</v>
      </c>
      <c r="F292" s="4" t="s">
        <v>38</v>
      </c>
      <c r="G292" s="4" t="s">
        <v>29</v>
      </c>
      <c r="H292" s="4" t="n">
        <v>1</v>
      </c>
      <c r="I292" s="6" t="n">
        <v>4379.38</v>
      </c>
      <c r="J292" s="6" t="n">
        <f aca="false">H292*I292</f>
        <v>4379.38</v>
      </c>
      <c r="K292" s="4" t="str">
        <f aca="false">CHOOSE(MONTH(B292),"Janeiro","Fevereiro","Março","Abril","Maio","Junho","Julho","Agosto","Setembro","Outubro","Novembro","Dezembro")</f>
        <v>Dezembro</v>
      </c>
    </row>
    <row r="293" customFormat="false" ht="15" hidden="false" customHeight="false" outlineLevel="0" collapsed="false">
      <c r="A293" s="4" t="n">
        <v>1301</v>
      </c>
      <c r="B293" s="5" t="n">
        <v>46006</v>
      </c>
      <c r="C293" s="4" t="s">
        <v>32</v>
      </c>
      <c r="D293" s="4" t="s">
        <v>14</v>
      </c>
      <c r="E293" s="4" t="s">
        <v>15</v>
      </c>
      <c r="F293" s="4" t="s">
        <v>16</v>
      </c>
      <c r="G293" s="4" t="s">
        <v>29</v>
      </c>
      <c r="H293" s="4" t="n">
        <v>3</v>
      </c>
      <c r="I293" s="6" t="n">
        <v>355.99</v>
      </c>
      <c r="J293" s="6" t="n">
        <f aca="false">H293*I293</f>
        <v>1067.97</v>
      </c>
      <c r="K293" s="4" t="str">
        <f aca="false">CHOOSE(MONTH(B293),"Janeiro","Fevereiro","Março","Abril","Maio","Junho","Julho","Agosto","Setembro","Outubro","Novembro","Dezembro")</f>
        <v>Dezembro</v>
      </c>
    </row>
    <row r="294" customFormat="false" ht="15" hidden="false" customHeight="false" outlineLevel="0" collapsed="false">
      <c r="A294" s="4" t="n">
        <v>1314</v>
      </c>
      <c r="B294" s="5" t="n">
        <v>46006</v>
      </c>
      <c r="C294" s="4" t="s">
        <v>18</v>
      </c>
      <c r="D294" s="4" t="s">
        <v>19</v>
      </c>
      <c r="E294" s="4" t="s">
        <v>15</v>
      </c>
      <c r="F294" s="4" t="s">
        <v>20</v>
      </c>
      <c r="G294" s="4" t="s">
        <v>17</v>
      </c>
      <c r="H294" s="4" t="n">
        <v>2</v>
      </c>
      <c r="I294" s="6" t="n">
        <v>2521.98</v>
      </c>
      <c r="J294" s="6" t="n">
        <f aca="false">H294*I294</f>
        <v>5043.96</v>
      </c>
      <c r="K294" s="4" t="str">
        <f aca="false">CHOOSE(MONTH(B294),"Janeiro","Fevereiro","Março","Abril","Maio","Junho","Julho","Agosto","Setembro","Outubro","Novembro","Dezembro")</f>
        <v>Dezembro</v>
      </c>
    </row>
    <row r="295" customFormat="false" ht="15" hidden="false" customHeight="false" outlineLevel="0" collapsed="false">
      <c r="A295" s="4" t="n">
        <v>1269</v>
      </c>
      <c r="B295" s="5" t="n">
        <v>46008</v>
      </c>
      <c r="C295" s="4" t="s">
        <v>18</v>
      </c>
      <c r="D295" s="4" t="s">
        <v>19</v>
      </c>
      <c r="E295" s="4" t="s">
        <v>15</v>
      </c>
      <c r="F295" s="4" t="s">
        <v>28</v>
      </c>
      <c r="G295" s="4" t="s">
        <v>23</v>
      </c>
      <c r="H295" s="4" t="n">
        <v>1</v>
      </c>
      <c r="I295" s="6" t="n">
        <v>2621.94</v>
      </c>
      <c r="J295" s="6" t="n">
        <f aca="false">H295*I295</f>
        <v>2621.94</v>
      </c>
      <c r="K295" s="4" t="str">
        <f aca="false">CHOOSE(MONTH(B295),"Janeiro","Fevereiro","Março","Abril","Maio","Junho","Julho","Agosto","Setembro","Outubro","Novembro","Dezembro")</f>
        <v>Dezembro</v>
      </c>
    </row>
    <row r="296" customFormat="false" ht="15" hidden="false" customHeight="false" outlineLevel="0" collapsed="false">
      <c r="A296" s="4" t="n">
        <v>1283</v>
      </c>
      <c r="B296" s="5" t="n">
        <v>46008</v>
      </c>
      <c r="C296" s="4" t="s">
        <v>26</v>
      </c>
      <c r="D296" s="4" t="s">
        <v>14</v>
      </c>
      <c r="E296" s="4" t="s">
        <v>15</v>
      </c>
      <c r="F296" s="4" t="s">
        <v>28</v>
      </c>
      <c r="G296" s="4" t="s">
        <v>37</v>
      </c>
      <c r="H296" s="4" t="n">
        <v>1</v>
      </c>
      <c r="I296" s="6" t="n">
        <v>140.42</v>
      </c>
      <c r="J296" s="6" t="n">
        <f aca="false">H296*I296</f>
        <v>140.42</v>
      </c>
      <c r="K296" s="4" t="str">
        <f aca="false">CHOOSE(MONTH(B296),"Janeiro","Fevereiro","Março","Abril","Maio","Junho","Julho","Agosto","Setembro","Outubro","Novembro","Dezembro")</f>
        <v>Dezembro</v>
      </c>
    </row>
    <row r="297" customFormat="false" ht="15" hidden="false" customHeight="false" outlineLevel="0" collapsed="false">
      <c r="A297" s="4" t="n">
        <v>1284</v>
      </c>
      <c r="B297" s="5" t="n">
        <v>46008</v>
      </c>
      <c r="C297" s="4" t="s">
        <v>30</v>
      </c>
      <c r="D297" s="4" t="s">
        <v>14</v>
      </c>
      <c r="E297" s="4" t="s">
        <v>15</v>
      </c>
      <c r="F297" s="4" t="s">
        <v>16</v>
      </c>
      <c r="G297" s="4" t="s">
        <v>27</v>
      </c>
      <c r="H297" s="4" t="n">
        <v>1</v>
      </c>
      <c r="I297" s="6" t="n">
        <v>248.82</v>
      </c>
      <c r="J297" s="6" t="n">
        <f aca="false">H297*I297</f>
        <v>248.82</v>
      </c>
      <c r="K297" s="4" t="str">
        <f aca="false">CHOOSE(MONTH(B297),"Janeiro","Fevereiro","Março","Abril","Maio","Junho","Julho","Agosto","Setembro","Outubro","Novembro","Dezembro")</f>
        <v>Dezembro</v>
      </c>
    </row>
    <row r="298" customFormat="false" ht="15" hidden="false" customHeight="false" outlineLevel="0" collapsed="false">
      <c r="A298" s="4" t="n">
        <v>1295</v>
      </c>
      <c r="B298" s="5" t="n">
        <v>46008</v>
      </c>
      <c r="C298" s="4" t="s">
        <v>30</v>
      </c>
      <c r="D298" s="4" t="s">
        <v>14</v>
      </c>
      <c r="E298" s="4" t="s">
        <v>15</v>
      </c>
      <c r="F298" s="4" t="s">
        <v>16</v>
      </c>
      <c r="G298" s="4" t="s">
        <v>27</v>
      </c>
      <c r="H298" s="4" t="n">
        <v>2</v>
      </c>
      <c r="I298" s="6" t="n">
        <v>256.11</v>
      </c>
      <c r="J298" s="6" t="n">
        <f aca="false">H298*I298</f>
        <v>512.22</v>
      </c>
      <c r="K298" s="4" t="str">
        <f aca="false">CHOOSE(MONTH(B298),"Janeiro","Fevereiro","Março","Abril","Maio","Junho","Julho","Agosto","Setembro","Outubro","Novembro","Dezembro")</f>
        <v>Dezembro</v>
      </c>
    </row>
    <row r="299" customFormat="false" ht="15" hidden="false" customHeight="false" outlineLevel="0" collapsed="false">
      <c r="A299" s="4" t="n">
        <v>1275</v>
      </c>
      <c r="B299" s="5" t="n">
        <v>46012</v>
      </c>
      <c r="C299" s="4" t="s">
        <v>26</v>
      </c>
      <c r="D299" s="4" t="s">
        <v>14</v>
      </c>
      <c r="E299" s="4" t="s">
        <v>15</v>
      </c>
      <c r="F299" s="4" t="s">
        <v>31</v>
      </c>
      <c r="G299" s="4" t="s">
        <v>21</v>
      </c>
      <c r="H299" s="4" t="n">
        <v>1</v>
      </c>
      <c r="I299" s="6" t="n">
        <v>156.19</v>
      </c>
      <c r="J299" s="6" t="n">
        <f aca="false">H299*I299</f>
        <v>156.19</v>
      </c>
      <c r="K299" s="4" t="str">
        <f aca="false">CHOOSE(MONTH(B299),"Janeiro","Fevereiro","Março","Abril","Maio","Junho","Julho","Agosto","Setembro","Outubro","Novembro","Dezembro")</f>
        <v>Dezembro</v>
      </c>
    </row>
    <row r="300" customFormat="false" ht="15" hidden="false" customHeight="false" outlineLevel="0" collapsed="false">
      <c r="A300" s="4" t="n">
        <v>1279</v>
      </c>
      <c r="B300" s="5" t="n">
        <v>46012</v>
      </c>
      <c r="C300" s="4" t="s">
        <v>18</v>
      </c>
      <c r="D300" s="4" t="s">
        <v>19</v>
      </c>
      <c r="E300" s="4" t="s">
        <v>15</v>
      </c>
      <c r="F300" s="4" t="s">
        <v>20</v>
      </c>
      <c r="G300" s="4" t="s">
        <v>29</v>
      </c>
      <c r="H300" s="4" t="n">
        <v>2</v>
      </c>
      <c r="I300" s="6" t="n">
        <v>2698.87</v>
      </c>
      <c r="J300" s="6" t="n">
        <f aca="false">H300*I300</f>
        <v>5397.74</v>
      </c>
      <c r="K300" s="4" t="str">
        <f aca="false">CHOOSE(MONTH(B300),"Janeiro","Fevereiro","Março","Abril","Maio","Junho","Julho","Agosto","Setembro","Outubro","Novembro","Dezembro")</f>
        <v>Dezembro</v>
      </c>
    </row>
    <row r="301" customFormat="false" ht="15" hidden="false" customHeight="false" outlineLevel="0" collapsed="false">
      <c r="A301" s="4" t="n">
        <v>1281</v>
      </c>
      <c r="B301" s="5" t="n">
        <v>46012</v>
      </c>
      <c r="C301" s="4" t="s">
        <v>33</v>
      </c>
      <c r="D301" s="4" t="s">
        <v>25</v>
      </c>
      <c r="E301" s="4" t="s">
        <v>15</v>
      </c>
      <c r="F301" s="4" t="s">
        <v>20</v>
      </c>
      <c r="G301" s="4" t="s">
        <v>17</v>
      </c>
      <c r="H301" s="4" t="n">
        <v>1</v>
      </c>
      <c r="I301" s="6" t="n">
        <v>287.58</v>
      </c>
      <c r="J301" s="6" t="n">
        <f aca="false">H301*I301</f>
        <v>287.58</v>
      </c>
      <c r="K301" s="4" t="str">
        <f aca="false">CHOOSE(MONTH(B301),"Janeiro","Fevereiro","Março","Abril","Maio","Junho","Julho","Agosto","Setembro","Outubro","Novembro","Dezembro")</f>
        <v>Dezembro</v>
      </c>
    </row>
    <row r="302" customFormat="false" ht="15" hidden="false" customHeight="false" outlineLevel="0" collapsed="false">
      <c r="A302" s="4" t="n">
        <v>1286</v>
      </c>
      <c r="B302" s="5" t="n">
        <v>46012</v>
      </c>
      <c r="C302" s="4" t="s">
        <v>34</v>
      </c>
      <c r="D302" s="4" t="s">
        <v>35</v>
      </c>
      <c r="E302" s="4" t="s">
        <v>15</v>
      </c>
      <c r="F302" s="4" t="s">
        <v>20</v>
      </c>
      <c r="G302" s="4" t="s">
        <v>37</v>
      </c>
      <c r="H302" s="4" t="n">
        <v>1</v>
      </c>
      <c r="I302" s="6" t="n">
        <v>46.42</v>
      </c>
      <c r="J302" s="6" t="n">
        <f aca="false">H302*I302</f>
        <v>46.42</v>
      </c>
      <c r="K302" s="4" t="str">
        <f aca="false">CHOOSE(MONTH(B302),"Janeiro","Fevereiro","Março","Abril","Maio","Junho","Julho","Agosto","Setembro","Outubro","Novembro","Dezembro")</f>
        <v>Dezembro</v>
      </c>
    </row>
    <row r="303" customFormat="false" ht="15" hidden="false" customHeight="false" outlineLevel="0" collapsed="false">
      <c r="A303" s="4" t="n">
        <v>1315</v>
      </c>
      <c r="B303" s="5" t="n">
        <v>46012</v>
      </c>
      <c r="C303" s="4" t="s">
        <v>30</v>
      </c>
      <c r="D303" s="4" t="s">
        <v>14</v>
      </c>
      <c r="E303" s="4" t="s">
        <v>15</v>
      </c>
      <c r="F303" s="4" t="s">
        <v>16</v>
      </c>
      <c r="G303" s="4" t="s">
        <v>37</v>
      </c>
      <c r="H303" s="4" t="n">
        <v>2</v>
      </c>
      <c r="I303" s="6" t="n">
        <v>247.69</v>
      </c>
      <c r="J303" s="6" t="n">
        <f aca="false">H303*I303</f>
        <v>495.38</v>
      </c>
      <c r="K303" s="4" t="str">
        <f aca="false">CHOOSE(MONTH(B303),"Janeiro","Fevereiro","Março","Abril","Maio","Junho","Julho","Agosto","Setembro","Outubro","Novembro","Dezembro")</f>
        <v>Dezembro</v>
      </c>
    </row>
    <row r="304" customFormat="false" ht="15" hidden="false" customHeight="false" outlineLevel="0" collapsed="false">
      <c r="A304" s="4" t="n">
        <v>1304</v>
      </c>
      <c r="B304" s="5" t="n">
        <v>46014</v>
      </c>
      <c r="C304" s="4" t="s">
        <v>30</v>
      </c>
      <c r="D304" s="4" t="s">
        <v>14</v>
      </c>
      <c r="E304" s="4" t="s">
        <v>15</v>
      </c>
      <c r="F304" s="4" t="s">
        <v>16</v>
      </c>
      <c r="G304" s="4" t="s">
        <v>23</v>
      </c>
      <c r="H304" s="4" t="n">
        <v>1</v>
      </c>
      <c r="I304" s="6" t="n">
        <v>256.63</v>
      </c>
      <c r="J304" s="6" t="n">
        <f aca="false">H304*I304</f>
        <v>256.63</v>
      </c>
      <c r="K304" s="4" t="str">
        <f aca="false">CHOOSE(MONTH(B304),"Janeiro","Fevereiro","Março","Abril","Maio","Junho","Julho","Agosto","Setembro","Outubro","Novembro","Dezembro")</f>
        <v>Dezembro</v>
      </c>
    </row>
    <row r="305" customFormat="false" ht="15" hidden="false" customHeight="false" outlineLevel="0" collapsed="false">
      <c r="A305" s="4" t="n">
        <v>1310</v>
      </c>
      <c r="B305" s="5" t="n">
        <v>46014</v>
      </c>
      <c r="C305" s="4" t="s">
        <v>24</v>
      </c>
      <c r="D305" s="4" t="s">
        <v>25</v>
      </c>
      <c r="E305" s="4" t="s">
        <v>15</v>
      </c>
      <c r="F305" s="4" t="s">
        <v>20</v>
      </c>
      <c r="G305" s="4" t="s">
        <v>17</v>
      </c>
      <c r="H305" s="4" t="n">
        <v>1</v>
      </c>
      <c r="I305" s="6" t="n">
        <v>457.37</v>
      </c>
      <c r="J305" s="6" t="n">
        <f aca="false">H305*I305</f>
        <v>457.37</v>
      </c>
      <c r="K305" s="4" t="str">
        <f aca="false">CHOOSE(MONTH(B305),"Janeiro","Fevereiro","Março","Abril","Maio","Junho","Julho","Agosto","Setembro","Outubro","Novembro","Dezembro")</f>
        <v>Dezembro</v>
      </c>
    </row>
    <row r="306" customFormat="false" ht="15" hidden="false" customHeight="false" outlineLevel="0" collapsed="false">
      <c r="A306" s="4" t="n">
        <v>1273</v>
      </c>
      <c r="B306" s="5" t="n">
        <v>46016</v>
      </c>
      <c r="C306" s="4" t="s">
        <v>26</v>
      </c>
      <c r="D306" s="4" t="s">
        <v>14</v>
      </c>
      <c r="E306" s="4" t="s">
        <v>15</v>
      </c>
      <c r="F306" s="4" t="s">
        <v>28</v>
      </c>
      <c r="G306" s="4" t="s">
        <v>37</v>
      </c>
      <c r="H306" s="4" t="n">
        <v>3</v>
      </c>
      <c r="I306" s="6" t="n">
        <v>138.54</v>
      </c>
      <c r="J306" s="6" t="n">
        <f aca="false">H306*I306</f>
        <v>415.62</v>
      </c>
      <c r="K306" s="4" t="str">
        <f aca="false">CHOOSE(MONTH(B306),"Janeiro","Fevereiro","Março","Abril","Maio","Junho","Julho","Agosto","Setembro","Outubro","Novembro","Dezembro")</f>
        <v>Dezembro</v>
      </c>
    </row>
    <row r="307" customFormat="false" ht="15" hidden="false" customHeight="false" outlineLevel="0" collapsed="false">
      <c r="A307" s="4" t="n">
        <v>1274</v>
      </c>
      <c r="B307" s="5" t="n">
        <v>46016</v>
      </c>
      <c r="C307" s="4" t="s">
        <v>36</v>
      </c>
      <c r="D307" s="4" t="s">
        <v>14</v>
      </c>
      <c r="E307" s="4" t="s">
        <v>15</v>
      </c>
      <c r="F307" s="4" t="s">
        <v>28</v>
      </c>
      <c r="G307" s="4" t="s">
        <v>29</v>
      </c>
      <c r="H307" s="4" t="n">
        <v>1</v>
      </c>
      <c r="I307" s="6" t="n">
        <v>202.74</v>
      </c>
      <c r="J307" s="6" t="n">
        <f aca="false">H307*I307</f>
        <v>202.74</v>
      </c>
      <c r="K307" s="4" t="str">
        <f aca="false">CHOOSE(MONTH(B307),"Janeiro","Fevereiro","Março","Abril","Maio","Junho","Julho","Agosto","Setembro","Outubro","Novembro","Dezembro")</f>
        <v>Dezembro</v>
      </c>
    </row>
    <row r="308" customFormat="false" ht="15" hidden="false" customHeight="false" outlineLevel="0" collapsed="false">
      <c r="A308" s="4" t="n">
        <v>1277</v>
      </c>
      <c r="B308" s="5" t="n">
        <v>46017</v>
      </c>
      <c r="C308" s="4" t="s">
        <v>39</v>
      </c>
      <c r="D308" s="4" t="s">
        <v>25</v>
      </c>
      <c r="E308" s="4" t="s">
        <v>15</v>
      </c>
      <c r="F308" s="4" t="s">
        <v>20</v>
      </c>
      <c r="G308" s="4" t="s">
        <v>27</v>
      </c>
      <c r="H308" s="4" t="n">
        <v>1</v>
      </c>
      <c r="I308" s="6" t="n">
        <v>258.19</v>
      </c>
      <c r="J308" s="6" t="n">
        <f aca="false">H308*I308</f>
        <v>258.19</v>
      </c>
      <c r="K308" s="4" t="str">
        <f aca="false">CHOOSE(MONTH(B308),"Janeiro","Fevereiro","Março","Abril","Maio","Junho","Julho","Agosto","Setembro","Outubro","Novembro","Dezembro")</f>
        <v>Dezembro</v>
      </c>
    </row>
    <row r="309" customFormat="false" ht="15" hidden="false" customHeight="false" outlineLevel="0" collapsed="false">
      <c r="A309" s="4" t="n">
        <v>1291</v>
      </c>
      <c r="B309" s="5" t="n">
        <v>46018</v>
      </c>
      <c r="C309" s="4" t="s">
        <v>24</v>
      </c>
      <c r="D309" s="4" t="s">
        <v>25</v>
      </c>
      <c r="E309" s="4" t="s">
        <v>15</v>
      </c>
      <c r="F309" s="4" t="s">
        <v>38</v>
      </c>
      <c r="G309" s="4" t="s">
        <v>21</v>
      </c>
      <c r="H309" s="4" t="n">
        <v>3</v>
      </c>
      <c r="I309" s="6" t="n">
        <v>452.19</v>
      </c>
      <c r="J309" s="6" t="n">
        <f aca="false">H309*I309</f>
        <v>1356.57</v>
      </c>
      <c r="K309" s="4" t="str">
        <f aca="false">CHOOSE(MONTH(B309),"Janeiro","Fevereiro","Março","Abril","Maio","Junho","Julho","Agosto","Setembro","Outubro","Novembro","Dezembro")</f>
        <v>Dezembro</v>
      </c>
    </row>
    <row r="310" customFormat="false" ht="15" hidden="false" customHeight="false" outlineLevel="0" collapsed="false">
      <c r="A310" s="4" t="n">
        <v>1297</v>
      </c>
      <c r="B310" s="5" t="n">
        <v>46018</v>
      </c>
      <c r="C310" s="4" t="s">
        <v>13</v>
      </c>
      <c r="D310" s="4" t="s">
        <v>14</v>
      </c>
      <c r="E310" s="4" t="s">
        <v>15</v>
      </c>
      <c r="F310" s="4" t="s">
        <v>31</v>
      </c>
      <c r="G310" s="4" t="s">
        <v>21</v>
      </c>
      <c r="H310" s="4" t="n">
        <v>3</v>
      </c>
      <c r="I310" s="6" t="n">
        <v>254.04</v>
      </c>
      <c r="J310" s="6" t="n">
        <f aca="false">H310*I310</f>
        <v>762.12</v>
      </c>
      <c r="K310" s="4" t="str">
        <f aca="false">CHOOSE(MONTH(B310),"Janeiro","Fevereiro","Março","Abril","Maio","Junho","Julho","Agosto","Setembro","Outubro","Novembro","Dezembro")</f>
        <v>Dezembro</v>
      </c>
    </row>
    <row r="311" customFormat="false" ht="15" hidden="false" customHeight="false" outlineLevel="0" collapsed="false">
      <c r="A311" s="4" t="n">
        <v>1288</v>
      </c>
      <c r="B311" s="5" t="n">
        <v>46019</v>
      </c>
      <c r="C311" s="4" t="s">
        <v>24</v>
      </c>
      <c r="D311" s="4" t="s">
        <v>25</v>
      </c>
      <c r="E311" s="4" t="s">
        <v>15</v>
      </c>
      <c r="F311" s="4" t="s">
        <v>28</v>
      </c>
      <c r="G311" s="4" t="s">
        <v>27</v>
      </c>
      <c r="H311" s="4" t="n">
        <v>2</v>
      </c>
      <c r="I311" s="6" t="n">
        <v>432.54</v>
      </c>
      <c r="J311" s="6" t="n">
        <f aca="false">H311*I311</f>
        <v>865.08</v>
      </c>
      <c r="K311" s="4" t="str">
        <f aca="false">CHOOSE(MONTH(B311),"Janeiro","Fevereiro","Março","Abril","Maio","Junho","Julho","Agosto","Setembro","Outubro","Novembro","Dezembro")</f>
        <v>Dezembro</v>
      </c>
    </row>
    <row r="312" customFormat="false" ht="15" hidden="false" customHeight="false" outlineLevel="0" collapsed="false">
      <c r="A312" s="4" t="n">
        <v>1296</v>
      </c>
      <c r="B312" s="5" t="n">
        <v>46020</v>
      </c>
      <c r="C312" s="4" t="s">
        <v>36</v>
      </c>
      <c r="D312" s="4" t="s">
        <v>14</v>
      </c>
      <c r="E312" s="4" t="s">
        <v>15</v>
      </c>
      <c r="F312" s="4" t="s">
        <v>16</v>
      </c>
      <c r="G312" s="4" t="s">
        <v>23</v>
      </c>
      <c r="H312" s="4" t="n">
        <v>1</v>
      </c>
      <c r="I312" s="6" t="n">
        <v>186.47</v>
      </c>
      <c r="J312" s="6" t="n">
        <f aca="false">H312*I312</f>
        <v>186.47</v>
      </c>
      <c r="K312" s="4" t="str">
        <f aca="false">CHOOSE(MONTH(B312),"Janeiro","Fevereiro","Março","Abril","Maio","Junho","Julho","Agosto","Setembro","Outubro","Novembro","Dezembro")</f>
        <v>Dezembro</v>
      </c>
    </row>
    <row r="313" customFormat="false" ht="15" hidden="false" customHeight="false" outlineLevel="0" collapsed="false">
      <c r="A313" s="4" t="n">
        <v>1311</v>
      </c>
      <c r="B313" s="5" t="n">
        <v>46020</v>
      </c>
      <c r="C313" s="4" t="s">
        <v>18</v>
      </c>
      <c r="D313" s="4" t="s">
        <v>19</v>
      </c>
      <c r="E313" s="4" t="s">
        <v>15</v>
      </c>
      <c r="F313" s="4" t="s">
        <v>31</v>
      </c>
      <c r="G313" s="4" t="s">
        <v>29</v>
      </c>
      <c r="H313" s="4" t="n">
        <v>1</v>
      </c>
      <c r="I313" s="6" t="n">
        <v>2489.75</v>
      </c>
      <c r="J313" s="6" t="n">
        <f aca="false">H313*I313</f>
        <v>2489.75</v>
      </c>
      <c r="K313" s="4" t="str">
        <f aca="false">CHOOSE(MONTH(B313),"Janeiro","Fevereiro","Março","Abril","Maio","Junho","Julho","Agosto","Setembro","Outubro","Novembro","Dezembro")</f>
        <v>Dezembro</v>
      </c>
    </row>
    <row r="314" customFormat="false" ht="15" hidden="false" customHeight="false" outlineLevel="0" collapsed="false">
      <c r="A314" s="4" t="n">
        <v>1292</v>
      </c>
      <c r="B314" s="5" t="n">
        <v>46021</v>
      </c>
      <c r="C314" s="4" t="s">
        <v>30</v>
      </c>
      <c r="D314" s="4" t="s">
        <v>14</v>
      </c>
      <c r="E314" s="4" t="s">
        <v>15</v>
      </c>
      <c r="F314" s="4" t="s">
        <v>20</v>
      </c>
      <c r="G314" s="4" t="s">
        <v>27</v>
      </c>
      <c r="H314" s="4" t="n">
        <v>2</v>
      </c>
      <c r="I314" s="6" t="n">
        <v>232.11</v>
      </c>
      <c r="J314" s="6" t="n">
        <f aca="false">H314*I314</f>
        <v>464.22</v>
      </c>
      <c r="K314" s="4" t="str">
        <f aca="false">CHOOSE(MONTH(B314),"Janeiro","Fevereiro","Março","Abril","Maio","Junho","Julho","Agosto","Setembro","Outubro","Novembro","Dezembro")</f>
        <v>Dezembro</v>
      </c>
    </row>
    <row r="315" customFormat="false" ht="15" hidden="false" customHeight="false" outlineLevel="0" collapsed="false">
      <c r="A315" s="4" t="n">
        <v>1280</v>
      </c>
      <c r="B315" s="5" t="n">
        <v>46022</v>
      </c>
      <c r="C315" s="4" t="s">
        <v>13</v>
      </c>
      <c r="D315" s="4" t="s">
        <v>14</v>
      </c>
      <c r="E315" s="4" t="s">
        <v>15</v>
      </c>
      <c r="F315" s="4" t="s">
        <v>31</v>
      </c>
      <c r="G315" s="4" t="s">
        <v>29</v>
      </c>
      <c r="H315" s="4" t="n">
        <v>1</v>
      </c>
      <c r="I315" s="6" t="n">
        <v>258.08</v>
      </c>
      <c r="J315" s="6" t="n">
        <f aca="false">H315*I315</f>
        <v>258.08</v>
      </c>
      <c r="K315" s="4" t="str">
        <f aca="false">CHOOSE(MONTH(B315),"Janeiro","Fevereiro","Março","Abril","Maio","Junho","Julho","Agosto","Setembro","Outubro","Novembro","Dezembro")</f>
        <v>Dezembro</v>
      </c>
    </row>
    <row r="316" customFormat="false" ht="15" hidden="false" customHeight="false" outlineLevel="0" collapsed="false">
      <c r="A316" s="4" t="n">
        <v>1290</v>
      </c>
      <c r="B316" s="5" t="n">
        <v>46022</v>
      </c>
      <c r="C316" s="4" t="s">
        <v>18</v>
      </c>
      <c r="D316" s="4" t="s">
        <v>19</v>
      </c>
      <c r="E316" s="4" t="s">
        <v>15</v>
      </c>
      <c r="F316" s="4" t="s">
        <v>28</v>
      </c>
      <c r="G316" s="4" t="s">
        <v>27</v>
      </c>
      <c r="H316" s="4" t="n">
        <v>2</v>
      </c>
      <c r="I316" s="6" t="n">
        <v>2591.7</v>
      </c>
      <c r="J316" s="6" t="n">
        <f aca="false">H316*I316</f>
        <v>5183.4</v>
      </c>
      <c r="K316" s="4" t="str">
        <f aca="false">CHOOSE(MONTH(B316),"Janeiro","Fevereiro","Março","Abril","Maio","Junho","Julho","Agosto","Setembro","Outubro","Novembro","Dezembro")</f>
        <v>Dezembro</v>
      </c>
    </row>
    <row r="317" customFormat="false" ht="15" hidden="false" customHeight="false" outlineLevel="0" collapsed="false">
      <c r="A317" s="4" t="n">
        <v>1300</v>
      </c>
      <c r="B317" s="5" t="n">
        <v>46022</v>
      </c>
      <c r="C317" s="4" t="s">
        <v>32</v>
      </c>
      <c r="D317" s="4" t="s">
        <v>14</v>
      </c>
      <c r="E317" s="4" t="s">
        <v>15</v>
      </c>
      <c r="F317" s="4" t="s">
        <v>16</v>
      </c>
      <c r="G317" s="4" t="s">
        <v>29</v>
      </c>
      <c r="H317" s="4" t="n">
        <v>1</v>
      </c>
      <c r="I317" s="6" t="n">
        <v>362.09</v>
      </c>
      <c r="J317" s="6" t="n">
        <f aca="false">H317*I317</f>
        <v>362.09</v>
      </c>
      <c r="K317" s="4" t="str">
        <f aca="false">CHOOSE(MONTH(B317),"Janeiro","Fevereiro","Março","Abril","Maio","Junho","Julho","Agosto","Setembro","Outubro","Novembro","Dezembro")</f>
        <v>Dezembro</v>
      </c>
    </row>
    <row r="318" customFormat="false" ht="15" hidden="false" customHeight="false" outlineLevel="0" collapsed="false">
      <c r="A318" s="4" t="n">
        <v>1306</v>
      </c>
      <c r="B318" s="5" t="n">
        <v>46022</v>
      </c>
      <c r="C318" s="4" t="s">
        <v>33</v>
      </c>
      <c r="D318" s="4" t="s">
        <v>25</v>
      </c>
      <c r="E318" s="4" t="s">
        <v>15</v>
      </c>
      <c r="F318" s="4" t="s">
        <v>31</v>
      </c>
      <c r="G318" s="4" t="s">
        <v>37</v>
      </c>
      <c r="H318" s="4" t="n">
        <v>1</v>
      </c>
      <c r="I318" s="6" t="n">
        <v>306.83</v>
      </c>
      <c r="J318" s="6" t="n">
        <f aca="false">H318*I318</f>
        <v>306.83</v>
      </c>
      <c r="K318" s="4" t="str">
        <f aca="false">CHOOSE(MONTH(B318),"Janeiro","Fevereiro","Março","Abril","Maio","Junho","Julho","Agosto","Setembro","Outubro","Novembro","Dezembro")</f>
        <v>Dezembro</v>
      </c>
    </row>
    <row r="319" customFormat="false" ht="15" hidden="false" customHeight="false" outlineLevel="0" collapsed="false">
      <c r="A319" s="4" t="n">
        <v>1312</v>
      </c>
      <c r="B319" s="5" t="n">
        <v>46022</v>
      </c>
      <c r="C319" s="4" t="s">
        <v>13</v>
      </c>
      <c r="D319" s="4" t="s">
        <v>14</v>
      </c>
      <c r="E319" s="4" t="s">
        <v>15</v>
      </c>
      <c r="F319" s="4" t="s">
        <v>16</v>
      </c>
      <c r="G319" s="4" t="s">
        <v>27</v>
      </c>
      <c r="H319" s="4" t="n">
        <v>1</v>
      </c>
      <c r="I319" s="6" t="n">
        <v>248.79</v>
      </c>
      <c r="J319" s="6" t="n">
        <f aca="false">H319*I319</f>
        <v>248.79</v>
      </c>
      <c r="K319" s="4" t="str">
        <f aca="false">CHOOSE(MONTH(B319),"Janeiro","Fevereiro","Março","Abril","Maio","Junho","Julho","Agosto","Setembro","Outubro","Novembro","Dezembro")</f>
        <v>Dezembro</v>
      </c>
    </row>
  </sheetData>
  <mergeCells count="1">
    <mergeCell ref="A1:K1"/>
  </mergeCells>
  <hyperlinks>
    <hyperlink ref="A2" r:id="rId1" location="Dashboard!A1" display="&lt;&lt;  Voltar ao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S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3" min="13" style="0" width="3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3"/>
    <col collapsed="false" customWidth="true" hidden="false" outlineLevel="0" max="17" min="17" style="0" width="18"/>
    <col collapsed="false" customWidth="true" hidden="false" outlineLevel="0" max="19" min="18" style="0" width="16"/>
  </cols>
  <sheetData>
    <row r="1" customFormat="false" ht="30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7" t="s">
        <v>42</v>
      </c>
      <c r="B4" s="7"/>
      <c r="C4" s="7"/>
      <c r="E4" s="7" t="s">
        <v>43</v>
      </c>
      <c r="F4" s="7"/>
      <c r="H4" s="7" t="s">
        <v>44</v>
      </c>
      <c r="I4" s="7"/>
      <c r="K4" s="7" t="s">
        <v>45</v>
      </c>
      <c r="L4" s="7"/>
      <c r="N4" s="7" t="s">
        <v>46</v>
      </c>
      <c r="O4" s="7"/>
      <c r="Q4" s="8" t="s">
        <v>47</v>
      </c>
      <c r="R4" s="8"/>
      <c r="S4" s="8"/>
    </row>
    <row r="5" customFormat="false" ht="21.75" hidden="false" customHeight="true" outlineLevel="0" collapsed="false">
      <c r="A5" s="3" t="s">
        <v>12</v>
      </c>
      <c r="B5" s="3" t="s">
        <v>48</v>
      </c>
      <c r="C5" s="3" t="s">
        <v>49</v>
      </c>
      <c r="E5" s="3" t="s">
        <v>5</v>
      </c>
      <c r="F5" s="3" t="s">
        <v>48</v>
      </c>
      <c r="H5" s="3" t="s">
        <v>7</v>
      </c>
      <c r="I5" s="3" t="s">
        <v>48</v>
      </c>
      <c r="K5" s="3" t="s">
        <v>8</v>
      </c>
      <c r="L5" s="3" t="s">
        <v>48</v>
      </c>
      <c r="N5" s="3" t="s">
        <v>4</v>
      </c>
      <c r="O5" s="3" t="s">
        <v>48</v>
      </c>
      <c r="Q5" s="3" t="s">
        <v>5</v>
      </c>
      <c r="R5" s="3" t="s">
        <v>50</v>
      </c>
      <c r="S5" s="3" t="s">
        <v>51</v>
      </c>
    </row>
    <row r="6" customFormat="false" ht="15" hidden="false" customHeight="false" outlineLevel="0" collapsed="false">
      <c r="A6" s="9" t="s">
        <v>52</v>
      </c>
      <c r="B6" s="10" t="n">
        <f aca="false">SUMPRODUCT((Dados!$B$5:$B$319&gt;=DATE(2025,1,1))*(Dados!$B$5:$B$319&lt;DATE(2025,2,1))*Dados!$J$5:$J$319)</f>
        <v>25807.34</v>
      </c>
      <c r="C6" s="11" t="n">
        <f aca="false">SUMPRODUCT((Dados!$B$5:$B$319&gt;=DATE(2025,1,1))*(Dados!$B$5:$B$319&lt;DATE(2025,2,1))*1)</f>
        <v>18</v>
      </c>
      <c r="E6" s="9" t="s">
        <v>19</v>
      </c>
      <c r="F6" s="10" t="n">
        <f aca="false">SUMIF(Dados!$D$5:$D$319,E6,Dados!$J$5:$J$319)</f>
        <v>196242.48</v>
      </c>
      <c r="H6" s="9" t="s">
        <v>16</v>
      </c>
      <c r="I6" s="10" t="n">
        <f aca="false">SUMIF(Dados!$F$5:$F$319,H6,Dados!$J$5:$J$319)</f>
        <v>113255.34</v>
      </c>
      <c r="K6" s="9" t="s">
        <v>17</v>
      </c>
      <c r="L6" s="10" t="n">
        <f aca="false">SUMIF(Dados!$G$5:$G$319,K6,Dados!$J$5:$J$319)</f>
        <v>78276.58</v>
      </c>
      <c r="N6" s="9" t="s">
        <v>22</v>
      </c>
      <c r="O6" s="10" t="n">
        <f aca="false">SUMIF(Dados!$C$5:$C$319,N6,Dados!$J$5:$J$319)</f>
        <v>111711.53</v>
      </c>
      <c r="Q6" s="9" t="s">
        <v>19</v>
      </c>
      <c r="R6" s="11" t="n">
        <f aca="false">SUMIF(Dados!$D$5:$D$319,Q6,Dados!$H$5:$H$319)</f>
        <v>57</v>
      </c>
      <c r="S6" s="10" t="n">
        <f aca="false">IFERROR(SUMIF(Dados!$D$5:$D$319,Q6,Dados!$J$5:$J$319)/COUNTIF(Dados!$D$5:$D$319,Q6),0)</f>
        <v>4088.385</v>
      </c>
    </row>
    <row r="7" customFormat="false" ht="15" hidden="false" customHeight="false" outlineLevel="0" collapsed="false">
      <c r="A7" s="9" t="s">
        <v>53</v>
      </c>
      <c r="B7" s="10" t="n">
        <f aca="false">SUMPRODUCT((Dados!$B$5:$B$319&gt;=DATE(2025,2,1))*(Dados!$B$5:$B$319&lt;DATE(2025,3,1))*Dados!$J$5:$J$319)</f>
        <v>15718.85</v>
      </c>
      <c r="C7" s="11" t="n">
        <f aca="false">SUMPRODUCT((Dados!$B$5:$B$319&gt;=DATE(2025,2,1))*(Dados!$B$5:$B$319&lt;DATE(2025,3,1))*1)</f>
        <v>21</v>
      </c>
      <c r="E7" s="9" t="s">
        <v>14</v>
      </c>
      <c r="F7" s="10" t="n">
        <f aca="false">SUMIF(Dados!$D$5:$D$319,E7,Dados!$J$5:$J$319)</f>
        <v>59431.53</v>
      </c>
      <c r="H7" s="9" t="s">
        <v>20</v>
      </c>
      <c r="I7" s="10" t="n">
        <f aca="false">SUMIF(Dados!$F$5:$F$319,H7,Dados!$J$5:$J$319)</f>
        <v>79614.82</v>
      </c>
      <c r="K7" s="9" t="s">
        <v>23</v>
      </c>
      <c r="L7" s="10" t="n">
        <f aca="false">SUMIF(Dados!$G$5:$G$319,K7,Dados!$J$5:$J$319)</f>
        <v>29411.73</v>
      </c>
      <c r="N7" s="9" t="s">
        <v>18</v>
      </c>
      <c r="O7" s="10" t="n">
        <f aca="false">SUMIF(Dados!$C$5:$C$319,N7,Dados!$J$5:$J$319)</f>
        <v>84530.95</v>
      </c>
      <c r="Q7" s="9" t="s">
        <v>14</v>
      </c>
      <c r="R7" s="11" t="n">
        <f aca="false">SUMIF(Dados!$D$5:$D$319,Q7,Dados!$H$5:$H$319)</f>
        <v>239</v>
      </c>
      <c r="S7" s="10" t="n">
        <f aca="false">IFERROR(SUMIF(Dados!$D$5:$D$319,Q7,Dados!$J$5:$J$319)/COUNTIF(Dados!$D$5:$D$319,Q7),0)</f>
        <v>366.861296296296</v>
      </c>
    </row>
    <row r="8" customFormat="false" ht="15" hidden="false" customHeight="false" outlineLevel="0" collapsed="false">
      <c r="A8" s="9" t="s">
        <v>54</v>
      </c>
      <c r="B8" s="10" t="n">
        <f aca="false">SUMPRODUCT((Dados!$B$5:$B$319&gt;=DATE(2025,3,1))*(Dados!$B$5:$B$319&lt;DATE(2025,4,1))*Dados!$J$5:$J$319)</f>
        <v>18910.22</v>
      </c>
      <c r="C8" s="11" t="n">
        <f aca="false">SUMPRODUCT((Dados!$B$5:$B$319&gt;=DATE(2025,3,1))*(Dados!$B$5:$B$319&lt;DATE(2025,4,1))*1)</f>
        <v>23</v>
      </c>
      <c r="E8" s="9" t="s">
        <v>25</v>
      </c>
      <c r="F8" s="10" t="n">
        <f aca="false">SUMIF(Dados!$D$5:$D$319,E8,Dados!$J$5:$J$319)</f>
        <v>40925.84</v>
      </c>
      <c r="H8" s="9" t="s">
        <v>28</v>
      </c>
      <c r="I8" s="10" t="n">
        <f aca="false">SUMIF(Dados!$F$5:$F$319,H8,Dados!$J$5:$J$319)</f>
        <v>63802</v>
      </c>
      <c r="K8" s="9" t="s">
        <v>27</v>
      </c>
      <c r="L8" s="10" t="n">
        <f aca="false">SUMIF(Dados!$G$5:$G$319,K8,Dados!$J$5:$J$319)</f>
        <v>59878.5</v>
      </c>
      <c r="N8" s="9" t="s">
        <v>24</v>
      </c>
      <c r="O8" s="10" t="n">
        <f aca="false">SUMIF(Dados!$C$5:$C$319,N8,Dados!$J$5:$J$319)</f>
        <v>19936.93</v>
      </c>
      <c r="Q8" s="9" t="s">
        <v>25</v>
      </c>
      <c r="R8" s="11" t="n">
        <f aca="false">SUMIF(Dados!$D$5:$D$319,Q8,Dados!$H$5:$H$319)</f>
        <v>122</v>
      </c>
      <c r="S8" s="10" t="n">
        <f aca="false">IFERROR(SUMIF(Dados!$D$5:$D$319,Q8,Dados!$J$5:$J$319)/COUNTIF(Dados!$D$5:$D$319,Q8),0)</f>
        <v>518.048607594937</v>
      </c>
    </row>
    <row r="9" customFormat="false" ht="15" hidden="false" customHeight="false" outlineLevel="0" collapsed="false">
      <c r="A9" s="9" t="s">
        <v>55</v>
      </c>
      <c r="B9" s="10" t="n">
        <f aca="false">SUMPRODUCT((Dados!$B$5:$B$319&gt;=DATE(2025,4,1))*(Dados!$B$5:$B$319&lt;DATE(2025,5,1))*Dados!$J$5:$J$319)</f>
        <v>32332.66</v>
      </c>
      <c r="C9" s="11" t="n">
        <f aca="false">SUMPRODUCT((Dados!$B$5:$B$319&gt;=DATE(2025,4,1))*(Dados!$B$5:$B$319&lt;DATE(2025,5,1))*1)</f>
        <v>21</v>
      </c>
      <c r="E9" s="9" t="s">
        <v>35</v>
      </c>
      <c r="F9" s="10" t="n">
        <f aca="false">SUMIF(Dados!$D$5:$D$319,E9,Dados!$J$5:$J$319)</f>
        <v>2090.9</v>
      </c>
      <c r="H9" s="9" t="s">
        <v>31</v>
      </c>
      <c r="I9" s="10" t="n">
        <f aca="false">SUMIF(Dados!$F$5:$F$319,H9,Dados!$J$5:$J$319)</f>
        <v>15111.59</v>
      </c>
      <c r="K9" s="9" t="s">
        <v>37</v>
      </c>
      <c r="L9" s="10" t="n">
        <f aca="false">SUMIF(Dados!$G$5:$G$319,K9,Dados!$J$5:$J$319)</f>
        <v>26702.64</v>
      </c>
      <c r="N9" s="9" t="s">
        <v>33</v>
      </c>
      <c r="O9" s="10" t="n">
        <f aca="false">SUMIF(Dados!$C$5:$C$319,N9,Dados!$J$5:$J$319)</f>
        <v>8698.5</v>
      </c>
      <c r="Q9" s="9" t="s">
        <v>35</v>
      </c>
      <c r="R9" s="11" t="n">
        <f aca="false">SUMIF(Dados!$D$5:$D$319,Q9,Dados!$H$5:$H$319)</f>
        <v>43</v>
      </c>
      <c r="S9" s="10" t="n">
        <f aca="false">IFERROR(SUMIF(Dados!$D$5:$D$319,Q9,Dados!$J$5:$J$319)/COUNTIF(Dados!$D$5:$D$319,Q9),0)</f>
        <v>80.4192307692308</v>
      </c>
    </row>
    <row r="10" customFormat="false" ht="15" hidden="false" customHeight="false" outlineLevel="0" collapsed="false">
      <c r="A10" s="9" t="s">
        <v>56</v>
      </c>
      <c r="B10" s="10" t="n">
        <f aca="false">SUMPRODUCT((Dados!$B$5:$B$319&gt;=DATE(2025,5,1))*(Dados!$B$5:$B$319&lt;DATE(2025,6,1))*Dados!$J$5:$J$319)</f>
        <v>23625.52</v>
      </c>
      <c r="C10" s="11" t="n">
        <f aca="false">SUMPRODUCT((Dados!$B$5:$B$319&gt;=DATE(2025,5,1))*(Dados!$B$5:$B$319&lt;DATE(2025,6,1))*1)</f>
        <v>20</v>
      </c>
      <c r="H10" s="9" t="s">
        <v>38</v>
      </c>
      <c r="I10" s="10" t="n">
        <f aca="false">SUMIF(Dados!$F$5:$F$319,H10,Dados!$J$5:$J$319)</f>
        <v>26907</v>
      </c>
      <c r="K10" s="9" t="s">
        <v>29</v>
      </c>
      <c r="L10" s="10" t="n">
        <f aca="false">SUMIF(Dados!$G$5:$G$319,K10,Dados!$J$5:$J$319)</f>
        <v>54593.82</v>
      </c>
      <c r="N10" s="9" t="s">
        <v>39</v>
      </c>
      <c r="O10" s="10" t="n">
        <f aca="false">SUMIF(Dados!$C$5:$C$319,N10,Dados!$J$5:$J$319)</f>
        <v>12290.41</v>
      </c>
    </row>
    <row r="11" customFormat="false" ht="15" hidden="false" customHeight="false" outlineLevel="0" collapsed="false">
      <c r="A11" s="9" t="s">
        <v>57</v>
      </c>
      <c r="B11" s="10" t="n">
        <f aca="false">SUMPRODUCT((Dados!$B$5:$B$319&gt;=DATE(2025,6,1))*(Dados!$B$5:$B$319&lt;DATE(2025,7,1))*Dados!$J$5:$J$319)</f>
        <v>25159.62</v>
      </c>
      <c r="C11" s="11" t="n">
        <f aca="false">SUMPRODUCT((Dados!$B$5:$B$319&gt;=DATE(2025,6,1))*(Dados!$B$5:$B$319&lt;DATE(2025,7,1))*1)</f>
        <v>23</v>
      </c>
      <c r="K11" s="9" t="s">
        <v>21</v>
      </c>
      <c r="L11" s="10" t="n">
        <f aca="false">SUMIF(Dados!$G$5:$G$319,K11,Dados!$J$5:$J$319)</f>
        <v>49827.48</v>
      </c>
      <c r="N11" s="9" t="s">
        <v>34</v>
      </c>
      <c r="O11" s="10" t="n">
        <f aca="false">SUMIF(Dados!$C$5:$C$319,N11,Dados!$J$5:$J$319)</f>
        <v>2090.9</v>
      </c>
    </row>
    <row r="12" customFormat="false" ht="15" hidden="false" customHeight="false" outlineLevel="0" collapsed="false">
      <c r="A12" s="9" t="s">
        <v>58</v>
      </c>
      <c r="B12" s="10" t="n">
        <f aca="false">SUMPRODUCT((Dados!$B$5:$B$319&gt;=DATE(2025,7,1))*(Dados!$B$5:$B$319&lt;DATE(2025,8,1))*Dados!$J$5:$J$319)</f>
        <v>28067.63</v>
      </c>
      <c r="C12" s="11" t="n">
        <f aca="false">SUMPRODUCT((Dados!$B$5:$B$319&gt;=DATE(2025,7,1))*(Dados!$B$5:$B$319&lt;DATE(2025,8,1))*1)</f>
        <v>26</v>
      </c>
      <c r="N12" s="9" t="s">
        <v>40</v>
      </c>
      <c r="O12" s="10" t="n">
        <f aca="false">SUMIF(Dados!$C$5:$C$319,N12,Dados!$J$5:$J$319)</f>
        <v>12956.34</v>
      </c>
    </row>
    <row r="13" customFormat="false" ht="15" hidden="false" customHeight="false" outlineLevel="0" collapsed="false">
      <c r="A13" s="9" t="s">
        <v>59</v>
      </c>
      <c r="B13" s="10" t="n">
        <f aca="false">SUMPRODUCT((Dados!$B$5:$B$319&gt;=DATE(2025,8,1))*(Dados!$B$5:$B$319&lt;DATE(2025,9,1))*Dados!$J$5:$J$319)</f>
        <v>15208.95</v>
      </c>
      <c r="C13" s="11" t="n">
        <f aca="false">SUMPRODUCT((Dados!$B$5:$B$319&gt;=DATE(2025,8,1))*(Dados!$B$5:$B$319&lt;DATE(2025,9,1))*1)</f>
        <v>26</v>
      </c>
      <c r="N13" s="9" t="s">
        <v>32</v>
      </c>
      <c r="O13" s="10" t="n">
        <f aca="false">SUMIF(Dados!$C$5:$C$319,N13,Dados!$J$5:$J$319)</f>
        <v>14851.88</v>
      </c>
    </row>
    <row r="14" customFormat="false" ht="15" hidden="false" customHeight="false" outlineLevel="0" collapsed="false">
      <c r="A14" s="9" t="s">
        <v>60</v>
      </c>
      <c r="B14" s="10" t="n">
        <f aca="false">SUMPRODUCT((Dados!$B$5:$B$319&gt;=DATE(2025,9,1))*(Dados!$B$5:$B$319&lt;DATE(2025,10,1))*Dados!$J$5:$J$319)</f>
        <v>22008.49</v>
      </c>
      <c r="C14" s="11" t="n">
        <f aca="false">SUMPRODUCT((Dados!$B$5:$B$319&gt;=DATE(2025,9,1))*(Dados!$B$5:$B$319&lt;DATE(2025,10,1))*1)</f>
        <v>27</v>
      </c>
      <c r="N14" s="9" t="s">
        <v>30</v>
      </c>
      <c r="O14" s="10" t="n">
        <f aca="false">SUMIF(Dados!$C$5:$C$319,N14,Dados!$J$5:$J$319)</f>
        <v>9496.25</v>
      </c>
    </row>
    <row r="15" customFormat="false" ht="15" hidden="false" customHeight="false" outlineLevel="0" collapsed="false">
      <c r="A15" s="9" t="s">
        <v>61</v>
      </c>
      <c r="B15" s="10" t="n">
        <f aca="false">SUMPRODUCT((Dados!$B$5:$B$319&gt;=DATE(2025,10,1))*(Dados!$B$5:$B$319&lt;DATE(2025,11,1))*Dados!$J$5:$J$319)</f>
        <v>17199.35</v>
      </c>
      <c r="C15" s="11" t="n">
        <f aca="false">SUMPRODUCT((Dados!$B$5:$B$319&gt;=DATE(2025,10,1))*(Dados!$B$5:$B$319&lt;DATE(2025,11,1))*1)</f>
        <v>24</v>
      </c>
      <c r="N15" s="9" t="s">
        <v>36</v>
      </c>
      <c r="O15" s="10" t="n">
        <f aca="false">SUMIF(Dados!$C$5:$C$319,N15,Dados!$J$5:$J$319)</f>
        <v>5147.17</v>
      </c>
    </row>
    <row r="16" customFormat="false" ht="15" hidden="false" customHeight="false" outlineLevel="0" collapsed="false">
      <c r="A16" s="9" t="s">
        <v>62</v>
      </c>
      <c r="B16" s="10" t="n">
        <f aca="false">SUMPRODUCT((Dados!$B$5:$B$319&gt;=DATE(2025,11,1))*(Dados!$B$5:$B$319&lt;DATE(2025,12,1))*Dados!$J$5:$J$319)</f>
        <v>27800.98</v>
      </c>
      <c r="C16" s="11" t="n">
        <f aca="false">SUMPRODUCT((Dados!$B$5:$B$319&gt;=DATE(2025,11,1))*(Dados!$B$5:$B$319&lt;DATE(2025,12,1))*1)</f>
        <v>38</v>
      </c>
      <c r="N16" s="9" t="s">
        <v>26</v>
      </c>
      <c r="O16" s="10" t="n">
        <f aca="false">SUMIF(Dados!$C$5:$C$319,N16,Dados!$J$5:$J$319)</f>
        <v>6811.56</v>
      </c>
    </row>
    <row r="17" customFormat="false" ht="15" hidden="false" customHeight="false" outlineLevel="0" collapsed="false">
      <c r="A17" s="9" t="s">
        <v>63</v>
      </c>
      <c r="B17" s="10" t="n">
        <f aca="false">SUMPRODUCT((Dados!$B$5:$B$319&gt;=DATE(2025,12,1))*(Dados!$B$5:$B$319&lt;DATE(2025,13,1))*Dados!$J$5:$J$319)</f>
        <v>46851.14</v>
      </c>
      <c r="C17" s="11" t="n">
        <f aca="false">SUMPRODUCT((Dados!$B$5:$B$319&gt;=DATE(2025,12,1))*(Dados!$B$5:$B$319&lt;DATE(2025,13,1))*1)</f>
        <v>48</v>
      </c>
      <c r="N17" s="9" t="s">
        <v>13</v>
      </c>
      <c r="O17" s="10" t="n">
        <f aca="false">SUMIF(Dados!$C$5:$C$319,N17,Dados!$J$5:$J$319)</f>
        <v>10168.33</v>
      </c>
    </row>
    <row r="20" customFormat="false" ht="19.5" hidden="false" customHeight="true" outlineLevel="0" collapsed="false">
      <c r="N20" s="8" t="s">
        <v>64</v>
      </c>
      <c r="O20" s="8"/>
    </row>
    <row r="21" customFormat="false" ht="21.75" hidden="false" customHeight="true" outlineLevel="0" collapsed="false">
      <c r="N21" s="3" t="s">
        <v>4</v>
      </c>
      <c r="O21" s="3" t="s">
        <v>48</v>
      </c>
    </row>
    <row r="22" customFormat="false" ht="15" hidden="false" customHeight="false" outlineLevel="0" collapsed="false">
      <c r="N22" s="9" t="str">
        <f aca="false">INDEX($N$6:$N$17,MATCH(O22,$O$6:$O$17,0))</f>
        <v>Xbox Series X 1TB</v>
      </c>
      <c r="O22" s="10" t="n">
        <f aca="false">LARGE($O$6:$O$17,1)</f>
        <v>111711.53</v>
      </c>
    </row>
    <row r="23" customFormat="false" ht="15" hidden="false" customHeight="false" outlineLevel="0" collapsed="false">
      <c r="N23" s="9" t="str">
        <f aca="false">INDEX($N$6:$N$17,MATCH(O23,$O$6:$O$17,0))</f>
        <v>Xbox Series S 512GB</v>
      </c>
      <c r="O23" s="10" t="n">
        <f aca="false">LARGE($O$6:$O$17,2)</f>
        <v>84530.95</v>
      </c>
    </row>
    <row r="24" customFormat="false" ht="15" hidden="false" customHeight="false" outlineLevel="0" collapsed="false">
      <c r="N24" s="9" t="str">
        <f aca="false">INDEX($N$6:$N$17,MATCH(O24,$O$6:$O$17,0))</f>
        <v>Controle Xbox Wireless</v>
      </c>
      <c r="O24" s="10" t="n">
        <f aca="false">LARGE($O$6:$O$17,3)</f>
        <v>19936.93</v>
      </c>
    </row>
    <row r="25" customFormat="false" ht="15" hidden="false" customHeight="false" outlineLevel="0" collapsed="false">
      <c r="N25" s="9" t="str">
        <f aca="false">INDEX($N$6:$N$17,MATCH(O25,$O$6:$O$17,0))</f>
        <v>Call of Duty: Black Ops 6</v>
      </c>
      <c r="O25" s="10" t="n">
        <f aca="false">LARGE($O$6:$O$17,4)</f>
        <v>14851.88</v>
      </c>
    </row>
    <row r="26" customFormat="false" ht="15" hidden="false" customHeight="false" outlineLevel="0" collapsed="false">
      <c r="N26" s="9" t="str">
        <f aca="false">INDEX($N$6:$N$17,MATCH(O26,$O$6:$O$17,0))</f>
        <v>EA Sports FC 25</v>
      </c>
      <c r="O26" s="10" t="n">
        <f aca="false">LARGE($O$6:$O$17,5)</f>
        <v>12956.34</v>
      </c>
    </row>
    <row r="27" customFormat="false" ht="15" hidden="false" customHeight="false" outlineLevel="0" collapsed="false">
      <c r="N27" s="9" t="str">
        <f aca="false">INDEX($N$6:$N$17,MATCH(O27,$O$6:$O$17,0))</f>
        <v>Carregador Duplo Xbox</v>
      </c>
      <c r="O27" s="10" t="n">
        <f aca="false">LARGE($O$6:$O$17,6)</f>
        <v>12290.41</v>
      </c>
    </row>
    <row r="28" customFormat="false" ht="15" hidden="false" customHeight="false" outlineLevel="0" collapsed="false">
      <c r="N28" s="9" t="str">
        <f aca="false">INDEX($N$6:$N$17,MATCH(O28,$O$6:$O$17,0))</f>
        <v>Starfield</v>
      </c>
      <c r="O28" s="10" t="n">
        <f aca="false">LARGE($O$6:$O$17,7)</f>
        <v>10168.33</v>
      </c>
    </row>
    <row r="29" customFormat="false" ht="15" hidden="false" customHeight="false" outlineLevel="0" collapsed="false">
      <c r="N29" s="9" t="str">
        <f aca="false">INDEX($N$6:$N$17,MATCH(O29,$O$6:$O$17,0))</f>
        <v>Forza Motorsport</v>
      </c>
      <c r="O29" s="10" t="n">
        <f aca="false">LARGE($O$6:$O$17,8)</f>
        <v>9496.25</v>
      </c>
    </row>
    <row r="30" customFormat="false" ht="15" hidden="false" customHeight="false" outlineLevel="0" collapsed="false">
      <c r="N30" s="9" t="str">
        <f aca="false">INDEX($N$6:$N$17,MATCH(O30,$O$6:$O$17,0))</f>
        <v>Headset Xbox Stereo</v>
      </c>
      <c r="O30" s="10" t="n">
        <f aca="false">LARGE($O$6:$O$17,9)</f>
        <v>8698.5</v>
      </c>
    </row>
    <row r="31" customFormat="false" ht="15" hidden="false" customHeight="false" outlineLevel="0" collapsed="false">
      <c r="N31" s="9" t="str">
        <f aca="false">INDEX($N$6:$N$17,MATCH(O31,$O$6:$O$17,0))</f>
        <v>Minecraft</v>
      </c>
      <c r="O31" s="10" t="n">
        <f aca="false">LARGE($O$6:$O$17,10)</f>
        <v>6811.56</v>
      </c>
    </row>
  </sheetData>
  <mergeCells count="8">
    <mergeCell ref="A1:O1"/>
    <mergeCell ref="A4:C4"/>
    <mergeCell ref="E4:F4"/>
    <mergeCell ref="H4:I4"/>
    <mergeCell ref="K4:L4"/>
    <mergeCell ref="N4:O4"/>
    <mergeCell ref="Q4:S4"/>
    <mergeCell ref="N20:O20"/>
  </mergeCells>
  <hyperlinks>
    <hyperlink ref="A2" r:id="rId1" location="Dashboard!A1" display="&lt;&lt;  Voltar ao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33.75" hidden="false" customHeight="true" outlineLevel="0" collapsed="false">
      <c r="A1" s="12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3" t="s">
        <v>66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customFormat="false" ht="19.5" hidden="false" customHeight="true" outlineLevel="0" collapsed="false">
      <c r="A4" s="3" t="s">
        <v>67</v>
      </c>
      <c r="B4" s="3"/>
      <c r="C4" s="3"/>
      <c r="D4" s="14" t="s">
        <v>68</v>
      </c>
      <c r="E4" s="14"/>
      <c r="F4" s="14"/>
      <c r="G4" s="14" t="s">
        <v>69</v>
      </c>
      <c r="H4" s="14"/>
      <c r="I4" s="14"/>
      <c r="J4" s="15" t="s">
        <v>70</v>
      </c>
      <c r="K4" s="15"/>
      <c r="L4" s="15"/>
    </row>
    <row r="5" customFormat="false" ht="33.75" hidden="false" customHeight="true" outlineLevel="0" collapsed="false">
      <c r="A5" s="16" t="n">
        <f aca="false">SUM(Dados!$J$5:$J$319)</f>
        <v>298690.75</v>
      </c>
      <c r="B5" s="16"/>
      <c r="C5" s="16"/>
      <c r="D5" s="17" t="n">
        <f aca="false">SUM(Dados!$H$5:$H$319)</f>
        <v>461</v>
      </c>
      <c r="E5" s="17"/>
      <c r="F5" s="17"/>
      <c r="G5" s="17" t="n">
        <f aca="false">COUNTA(Dados!$A$5:$A$319)</f>
        <v>315</v>
      </c>
      <c r="H5" s="17"/>
      <c r="I5" s="17"/>
      <c r="J5" s="16" t="n">
        <f aca="false">SUM(Dados!$J$5:$J$319)/COUNTA(Dados!$A$5:$A$319)</f>
        <v>948.224603174603</v>
      </c>
      <c r="K5" s="16"/>
      <c r="L5" s="16"/>
    </row>
    <row r="7" customFormat="false" ht="19.5" hidden="false" customHeight="true" outlineLevel="0" collapsed="false">
      <c r="A7" s="18" t="s">
        <v>71</v>
      </c>
      <c r="B7" s="18"/>
      <c r="C7" s="18"/>
      <c r="D7" s="18"/>
      <c r="E7" s="18" t="s">
        <v>72</v>
      </c>
      <c r="F7" s="18"/>
      <c r="G7" s="18"/>
      <c r="H7" s="18"/>
      <c r="I7" s="18" t="s">
        <v>73</v>
      </c>
      <c r="J7" s="18"/>
      <c r="K7" s="18"/>
      <c r="L7" s="18"/>
    </row>
    <row r="8" customFormat="false" ht="33.75" hidden="false" customHeight="true" outlineLevel="0" collapsed="false">
      <c r="A8" s="19" t="str">
        <f aca="false">Resumo!N22</f>
        <v>Xbox Series X 1TB</v>
      </c>
      <c r="B8" s="19"/>
      <c r="C8" s="19"/>
      <c r="D8" s="19"/>
      <c r="E8" s="19" t="str">
        <f aca="false">INDEX(Resumo!$E$6:$E$9,MATCH(MAX(Resumo!$F$6:$F$9),Resumo!$F$6:$F$9,0))</f>
        <v>Console</v>
      </c>
      <c r="F8" s="19"/>
      <c r="G8" s="19"/>
      <c r="H8" s="19"/>
      <c r="I8" s="19" t="str">
        <f aca="false">INDEX(Resumo!$A$6:$A$17,MATCH(MAX(Resumo!$B$6:$B$17),Resumo!$B$6:$B$17,0))</f>
        <v>Dezembro</v>
      </c>
      <c r="J8" s="19"/>
      <c r="K8" s="19"/>
      <c r="L8" s="19"/>
    </row>
    <row r="65" customFormat="false" ht="15.75" hidden="false" customHeight="true" outlineLevel="0" collapsed="false">
      <c r="A65" s="20" t="s">
        <v>74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customFormat="false" ht="15.75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</sheetData>
  <mergeCells count="17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7:D7"/>
    <mergeCell ref="E7:H7"/>
    <mergeCell ref="I7:L7"/>
    <mergeCell ref="A8:D8"/>
    <mergeCell ref="E8:H8"/>
    <mergeCell ref="I8:L8"/>
    <mergeCell ref="A65:L6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2026-08-25T15:45:43Z</dcterms:created>
  <dc:creator>openpyxl</dc:creator>
  <dc:description/>
  <dc:language>en-US</dc:language>
  <cp:lastModifiedBy/>
  <dcterms:modified xsi:type="dcterms:W3CDTF">2026-08-25T15:45:45Z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